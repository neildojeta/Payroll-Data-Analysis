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3454ABA2-7F18-4B69-B98F-11EC77F2043E}" xr6:coauthVersionLast="47" xr6:coauthVersionMax="47" xr10:uidLastSave="{00000000-0000-0000-0000-000000000000}"/>
  <bookViews>
    <workbookView xWindow="-120" yWindow="-120" windowWidth="29040" windowHeight="15720" activeTab="3" xr2:uid="{F751EC95-3E77-4C08-BD84-0DA0B59C4272}"/>
  </bookViews>
  <sheets>
    <sheet name="Dashboard" sheetId="1" r:id="rId1"/>
    <sheet name="Total Tables" sheetId="3" r:id="rId2"/>
    <sheet name="CCTA" sheetId="4" r:id="rId3"/>
    <sheet name="CCTA Tables" sheetId="5" r:id="rId4"/>
    <sheet name="LATVA" sheetId="6" r:id="rId5"/>
    <sheet name="LATVA Tables" sheetId="7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2" i="5" l="1"/>
  <c r="F15" i="5" s="1"/>
  <c r="F15" i="7"/>
  <c r="P23" i="5"/>
  <c r="O23" i="5"/>
  <c r="K23" i="5"/>
  <c r="J23" i="5"/>
  <c r="Q17" i="7"/>
  <c r="Q16" i="7"/>
  <c r="Q15" i="7"/>
  <c r="Q14" i="7"/>
  <c r="Q13" i="7"/>
  <c r="Q12" i="7"/>
  <c r="Q11" i="7"/>
  <c r="Q10" i="7"/>
  <c r="Q9" i="7"/>
  <c r="L17" i="7"/>
  <c r="L16" i="7"/>
  <c r="L15" i="7"/>
  <c r="L14" i="7"/>
  <c r="L13" i="7"/>
  <c r="L12" i="7"/>
  <c r="L11" i="7"/>
  <c r="L10" i="7"/>
  <c r="L9" i="7"/>
  <c r="E12" i="3"/>
  <c r="D12" i="3"/>
  <c r="E12" i="5"/>
  <c r="D12" i="5"/>
  <c r="E12" i="7"/>
  <c r="D12" i="7"/>
  <c r="F13" i="7"/>
  <c r="E13" i="7"/>
  <c r="D13" i="7"/>
  <c r="C13" i="7"/>
  <c r="B13" i="7"/>
  <c r="F12" i="7"/>
  <c r="C12" i="7"/>
  <c r="B12" i="7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F13" i="5"/>
  <c r="E13" i="5"/>
  <c r="D13" i="5"/>
  <c r="C13" i="5"/>
  <c r="B13" i="5"/>
  <c r="C12" i="5"/>
  <c r="B12" i="5"/>
  <c r="L23" i="5" l="1"/>
  <c r="K27" i="3" l="1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E13" i="3"/>
  <c r="D13" i="3"/>
  <c r="C13" i="3"/>
  <c r="B12" i="3"/>
  <c r="F13" i="3"/>
  <c r="C12" i="3"/>
  <c r="B13" i="3"/>
  <c r="F12" i="3" l="1"/>
  <c r="Q23" i="5"/>
</calcChain>
</file>

<file path=xl/sharedStrings.xml><?xml version="1.0" encoding="utf-8"?>
<sst xmlns="http://schemas.openxmlformats.org/spreadsheetml/2006/main" count="194" uniqueCount="48">
  <si>
    <t>TOTAL</t>
  </si>
  <si>
    <t>FILE NAME</t>
  </si>
  <si>
    <t>TRIPS</t>
  </si>
  <si>
    <t>HOURS</t>
  </si>
  <si>
    <t>OPERATORS</t>
  </si>
  <si>
    <t>DAYS</t>
  </si>
  <si>
    <t>TOTAL PAID</t>
  </si>
  <si>
    <t>VDP_DIV5_1021_1103_FINAL</t>
  </si>
  <si>
    <t>DONE-VDP_DIV5_1007_1020_FINAL</t>
  </si>
  <si>
    <t>DIFFERENCE</t>
  </si>
  <si>
    <t>CHANGE</t>
  </si>
  <si>
    <t>PARTNER</t>
  </si>
  <si>
    <t>OPERATOR NAME</t>
  </si>
  <si>
    <t>EXPRESS TRANSPORTATION SERVICES, LLC</t>
  </si>
  <si>
    <t>BANKS, LENARD</t>
  </si>
  <si>
    <t>Added</t>
  </si>
  <si>
    <t>GIBBS, SAMUEL</t>
  </si>
  <si>
    <t>Removed</t>
  </si>
  <si>
    <t>OPERATOR</t>
  </si>
  <si>
    <t>GET CARE TRANSIT LLC</t>
  </si>
  <si>
    <t>QUICK RIDES CA</t>
  </si>
  <si>
    <t>TRI VALLEY TRANSPORTATION INC.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</si>
  <si>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</si>
  <si>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</si>
  <si>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</si>
  <si>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</si>
  <si>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</si>
  <si>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</si>
  <si>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</si>
  <si>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</si>
  <si>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</si>
  <si>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</si>
  <si>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</si>
  <si>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</si>
  <si>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</si>
  <si>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BUFFINGTON TRANSPORTATION LLC</t>
  </si>
  <si>
    <t>JORGE TRANSPORTATION</t>
  </si>
  <si>
    <t>LATEST</t>
  </si>
  <si>
    <t>PREVIOUS</t>
  </si>
  <si>
    <t>TRIPS MADE</t>
  </si>
  <si>
    <t>HOURS OPERATED</t>
  </si>
  <si>
    <t>CCTA PARTNER</t>
  </si>
  <si>
    <t>SILVA PAUL</t>
  </si>
  <si>
    <t>SILVA, PAUL</t>
  </si>
  <si>
    <t>ALLGOOD, SCOTT</t>
  </si>
  <si>
    <t>ROBERTSON, SARAH</t>
  </si>
  <si>
    <t>HUGO, TAMA</t>
  </si>
  <si>
    <t>VILCHEZ, CHARLENNE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</si>
</sst>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_-* #,##0.000_-;\-* #,##0.000_-;_-* &quot;-&quot;??_-;_-@_-"/>
    <numFmt numFmtId="166" formatCode="&quot;$&quot;#,##0.00"/>
    <numFmt numFmtId="167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E909A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3" fillId="0" borderId="0" xfId="0" applyFont="1"/>
    <xf numFmtId="165" fontId="0" fillId="0" borderId="0" xfId="1" applyNumberFormat="1" applyFont="1" applyBorder="1"/>
    <xf numFmtId="166" fontId="0" fillId="0" borderId="0" xfId="1" applyNumberFormat="1" applyFont="1" applyBorder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3" fillId="0" borderId="0" xfId="0" applyFont="1" applyAlignment="1">
      <alignment horizontal="right"/>
    </xf>
    <xf numFmtId="0" fontId="5" fillId="0" borderId="0" xfId="0" applyFont="1"/>
    <xf numFmtId="1" fontId="3" fillId="0" borderId="3" xfId="0" applyNumberFormat="1" applyFont="1" applyBorder="1" applyAlignment="1">
      <alignment horizontal="right"/>
    </xf>
    <xf numFmtId="167" fontId="3" fillId="0" borderId="3" xfId="0" applyNumberFormat="1" applyFont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164" fontId="0" fillId="0" borderId="0" xfId="1" applyNumberFormat="1" applyFont="1" applyBorder="1" applyAlignment="1">
      <alignment horizontal="left"/>
    </xf>
    <xf numFmtId="0" fontId="0" fillId="0" borderId="0" xfId="0" applyAlignment="1">
      <alignment horizontal="right"/>
    </xf>
    <xf numFmtId="0" fontId="0" fillId="4" borderId="0" xfId="0" applyFill="1"/>
    <xf numFmtId="164" fontId="2" fillId="5" borderId="1" xfId="1" applyNumberFormat="1" applyFont="1" applyFill="1" applyBorder="1" applyAlignment="1">
      <alignment horizontal="right"/>
    </xf>
    <xf numFmtId="164" fontId="3" fillId="0" borderId="0" xfId="0" applyNumberFormat="1" applyFont="1" applyAlignment="1">
      <alignment horizontal="right"/>
    </xf>
    <xf numFmtId="164" fontId="2" fillId="5" borderId="4" xfId="1" applyNumberFormat="1" applyFont="1" applyFill="1" applyBorder="1" applyAlignment="1">
      <alignment horizontal="right"/>
    </xf>
    <xf numFmtId="164" fontId="2" fillId="5" borderId="2" xfId="1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0" fontId="2" fillId="7" borderId="0" xfId="0" applyFont="1" applyFill="1"/>
    <xf numFmtId="0" fontId="6" fillId="0" borderId="0" xfId="2" applyAlignment="1">
      <alignment vertical="top"/>
    </xf>
    <xf numFmtId="0" fontId="6" fillId="0" borderId="0" xfId="2" applyAlignment="1">
      <alignment horizontal="left"/>
    </xf>
    <xf numFmtId="0" fontId="7" fillId="0" borderId="0" xfId="2" applyFont="1" applyAlignment="1">
      <alignment horizontal="left"/>
    </xf>
    <xf numFmtId="164" fontId="4" fillId="3" borderId="5" xfId="0" applyNumberFormat="1" applyFont="1" applyFill="1" applyBorder="1"/>
    <xf numFmtId="164" fontId="2" fillId="7" borderId="1" xfId="0" applyNumberFormat="1" applyFont="1" applyFill="1" applyBorder="1" applyAlignment="1">
      <alignment horizontal="right"/>
    </xf>
    <xf numFmtId="0" fontId="0" fillId="8" borderId="0" xfId="0" applyFill="1"/>
    <xf numFmtId="0" fontId="6" fillId="0" borderId="0" xfId="2"/>
    <xf numFmtId="0" fontId="6" fillId="0" borderId="0" xfId="2" applyAlignment="1">
      <alignment horizontal="left" vertical="top"/>
    </xf>
    <xf numFmtId="0" fontId="8" fillId="6" borderId="0" xfId="2" applyFont="1" applyFill="1" applyAlignment="1">
      <alignment horizontal="left" vertical="top" wrapText="1"/>
    </xf>
    <xf numFmtId="164" fontId="2" fillId="5" borderId="1" xfId="1" applyNumberFormat="1" applyFont="1" applyFill="1" applyBorder="1" applyAlignment="1"/>
    <xf numFmtId="10" fontId="0" fillId="0" borderId="0" xfId="3" applyNumberFormat="1" applyFont="1"/>
    <xf numFmtId="0" fontId="8" fillId="0" borderId="0" xfId="2" applyFont="1" applyAlignment="1">
      <alignment horizontal="right"/>
    </xf>
    <xf numFmtId="164" fontId="0" fillId="0" borderId="0" xfId="1" applyNumberFormat="1" applyFont="1"/>
    <xf numFmtId="165" fontId="0" fillId="0" borderId="0" xfId="1" applyNumberFormat="1" applyFont="1"/>
    <xf numFmtId="0" fontId="5" fillId="2" borderId="0" xfId="0" applyFont="1" applyFill="1" applyAlignment="1">
      <alignment horizontal="center"/>
    </xf>
    <xf numFmtId="0" fontId="3" fillId="6" borderId="0" xfId="0" applyFont="1" applyFill="1" applyAlignment="1">
      <alignment horizontal="left" vertical="center" wrapText="1"/>
    </xf>
    <xf numFmtId="0" fontId="8" fillId="6" borderId="0" xfId="2" applyFont="1" applyFill="1" applyAlignment="1">
      <alignment horizontal="left" vertical="top" wrapText="1"/>
    </xf>
  </cellXfs>
  <cellStyles count="4">
    <cellStyle name="Comma" xfId="1" builtinId="3"/>
    <cellStyle name="Normal" xfId="0" builtinId="0"/>
    <cellStyle name="Normal 2 2" xfId="2" xr:uid="{A4B870E7-F4EC-4195-AC04-206A375A97AA}"/>
    <cellStyle name="Percent" xfId="3" builtinId="5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7E909A"/>
      <color rgb="FFFAFAFA"/>
      <color rgb="FF00BF63"/>
      <color rgb="FF30549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13" Type="http://schemas.openxmlformats.org/officeDocument/2006/relationships/hyperlink" Target="#'Total Tables'!F9"/><Relationship Id="rId18" Type="http://schemas.openxmlformats.org/officeDocument/2006/relationships/image" Target="../media/image10.png"/><Relationship Id="rId26" Type="http://schemas.openxmlformats.org/officeDocument/2006/relationships/image" Target="../media/image18.svg"/><Relationship Id="rId3" Type="http://schemas.openxmlformats.org/officeDocument/2006/relationships/hyperlink" Target="#Dashboard!A1"/><Relationship Id="rId21" Type="http://schemas.openxmlformats.org/officeDocument/2006/relationships/image" Target="../media/image13.svg"/><Relationship Id="rId7" Type="http://schemas.openxmlformats.org/officeDocument/2006/relationships/image" Target="../media/image3.png"/><Relationship Id="rId12" Type="http://schemas.openxmlformats.org/officeDocument/2006/relationships/hyperlink" Target="#'Total Tables'!A7"/><Relationship Id="rId17" Type="http://schemas.openxmlformats.org/officeDocument/2006/relationships/image" Target="../media/image9.png"/><Relationship Id="rId25" Type="http://schemas.openxmlformats.org/officeDocument/2006/relationships/image" Target="../media/image17.png"/><Relationship Id="rId2" Type="http://schemas.openxmlformats.org/officeDocument/2006/relationships/hyperlink" Target="#LATVA!A1"/><Relationship Id="rId16" Type="http://schemas.openxmlformats.org/officeDocument/2006/relationships/image" Target="../media/image8.png"/><Relationship Id="rId20" Type="http://schemas.openxmlformats.org/officeDocument/2006/relationships/image" Target="../media/image12.png"/><Relationship Id="rId29" Type="http://schemas.openxmlformats.org/officeDocument/2006/relationships/image" Target="../media/image19.emf"/><Relationship Id="rId1" Type="http://schemas.openxmlformats.org/officeDocument/2006/relationships/hyperlink" Target="#CCTA!A1"/><Relationship Id="rId6" Type="http://schemas.openxmlformats.org/officeDocument/2006/relationships/hyperlink" Target="#'Total Tables'!A17"/><Relationship Id="rId11" Type="http://schemas.openxmlformats.org/officeDocument/2006/relationships/image" Target="../media/image6.svg"/><Relationship Id="rId24" Type="http://schemas.openxmlformats.org/officeDocument/2006/relationships/image" Target="../media/image16.png"/><Relationship Id="rId32" Type="http://schemas.openxmlformats.org/officeDocument/2006/relationships/image" Target="../media/image22.svg"/><Relationship Id="rId5" Type="http://schemas.openxmlformats.org/officeDocument/2006/relationships/image" Target="../media/image2.svg"/><Relationship Id="rId15" Type="http://schemas.openxmlformats.org/officeDocument/2006/relationships/image" Target="../media/image7.png"/><Relationship Id="rId23" Type="http://schemas.openxmlformats.org/officeDocument/2006/relationships/image" Target="../media/image15.svg"/><Relationship Id="rId28" Type="http://schemas.openxmlformats.org/officeDocument/2006/relationships/hyperlink" Target="#'Total Tables'!I7"/><Relationship Id="rId10" Type="http://schemas.openxmlformats.org/officeDocument/2006/relationships/image" Target="../media/image5.png"/><Relationship Id="rId19" Type="http://schemas.openxmlformats.org/officeDocument/2006/relationships/image" Target="../media/image11.png"/><Relationship Id="rId31" Type="http://schemas.openxmlformats.org/officeDocument/2006/relationships/image" Target="../media/image21.png"/><Relationship Id="rId4" Type="http://schemas.openxmlformats.org/officeDocument/2006/relationships/image" Target="../media/image1.png"/><Relationship Id="rId9" Type="http://schemas.openxmlformats.org/officeDocument/2006/relationships/hyperlink" Target="#'Total Tables'!F12"/><Relationship Id="rId14" Type="http://schemas.openxmlformats.org/officeDocument/2006/relationships/hyperlink" Target="#'Total Tables'!F10"/><Relationship Id="rId22" Type="http://schemas.openxmlformats.org/officeDocument/2006/relationships/image" Target="../media/image14.png"/><Relationship Id="rId27" Type="http://schemas.openxmlformats.org/officeDocument/2006/relationships/hyperlink" Target="#'Total Tables'!N7"/><Relationship Id="rId30" Type="http://schemas.openxmlformats.org/officeDocument/2006/relationships/image" Target="../media/image20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Dashboard!F12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#'CCTA Tables'!A7"/><Relationship Id="rId18" Type="http://schemas.openxmlformats.org/officeDocument/2006/relationships/image" Target="../media/image8.png"/><Relationship Id="rId26" Type="http://schemas.openxmlformats.org/officeDocument/2006/relationships/image" Target="../media/image11.png"/><Relationship Id="rId3" Type="http://schemas.openxmlformats.org/officeDocument/2006/relationships/image" Target="../media/image22.svg"/><Relationship Id="rId21" Type="http://schemas.openxmlformats.org/officeDocument/2006/relationships/hyperlink" Target="#'CCTA Tables'!N7"/><Relationship Id="rId34" Type="http://schemas.openxmlformats.org/officeDocument/2006/relationships/image" Target="../media/image28.emf"/><Relationship Id="rId7" Type="http://schemas.openxmlformats.org/officeDocument/2006/relationships/hyperlink" Target="#Dashboard!A1"/><Relationship Id="rId12" Type="http://schemas.openxmlformats.org/officeDocument/2006/relationships/image" Target="../media/image4.svg"/><Relationship Id="rId17" Type="http://schemas.openxmlformats.org/officeDocument/2006/relationships/image" Target="../media/image7.png"/><Relationship Id="rId25" Type="http://schemas.openxmlformats.org/officeDocument/2006/relationships/image" Target="../media/image10.png"/><Relationship Id="rId33" Type="http://schemas.openxmlformats.org/officeDocument/2006/relationships/image" Target="../media/image27.emf"/><Relationship Id="rId2" Type="http://schemas.openxmlformats.org/officeDocument/2006/relationships/image" Target="../media/image21.png"/><Relationship Id="rId16" Type="http://schemas.openxmlformats.org/officeDocument/2006/relationships/hyperlink" Target="#'CCTA Tables'!F10"/><Relationship Id="rId20" Type="http://schemas.openxmlformats.org/officeDocument/2006/relationships/image" Target="../media/image18.svg"/><Relationship Id="rId29" Type="http://schemas.openxmlformats.org/officeDocument/2006/relationships/image" Target="../media/image16.png"/><Relationship Id="rId1" Type="http://schemas.openxmlformats.org/officeDocument/2006/relationships/hyperlink" Target="#'CCTA Tables'!F12"/><Relationship Id="rId6" Type="http://schemas.openxmlformats.org/officeDocument/2006/relationships/hyperlink" Target="#LATVA!A1"/><Relationship Id="rId11" Type="http://schemas.openxmlformats.org/officeDocument/2006/relationships/image" Target="../media/image3.png"/><Relationship Id="rId24" Type="http://schemas.openxmlformats.org/officeDocument/2006/relationships/image" Target="../media/image15.svg"/><Relationship Id="rId32" Type="http://schemas.openxmlformats.org/officeDocument/2006/relationships/hyperlink" Target="#'CCTA Tables'!I7"/><Relationship Id="rId5" Type="http://schemas.openxmlformats.org/officeDocument/2006/relationships/image" Target="../media/image6.svg"/><Relationship Id="rId15" Type="http://schemas.openxmlformats.org/officeDocument/2006/relationships/hyperlink" Target="#'CCTA Tables'!F9"/><Relationship Id="rId23" Type="http://schemas.openxmlformats.org/officeDocument/2006/relationships/image" Target="../media/image14.png"/><Relationship Id="rId28" Type="http://schemas.openxmlformats.org/officeDocument/2006/relationships/image" Target="../media/image13.svg"/><Relationship Id="rId10" Type="http://schemas.openxmlformats.org/officeDocument/2006/relationships/hyperlink" Target="#'CCTA Tables'!A17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5.png"/><Relationship Id="rId9" Type="http://schemas.openxmlformats.org/officeDocument/2006/relationships/image" Target="../media/image24.svg"/><Relationship Id="rId14" Type="http://schemas.openxmlformats.org/officeDocument/2006/relationships/hyperlink" Target="#'Total Tables'!A1"/><Relationship Id="rId22" Type="http://schemas.openxmlformats.org/officeDocument/2006/relationships/image" Target="../media/image9.png"/><Relationship Id="rId27" Type="http://schemas.openxmlformats.org/officeDocument/2006/relationships/image" Target="../media/image12.png"/><Relationship Id="rId30" Type="http://schemas.openxmlformats.org/officeDocument/2006/relationships/image" Target="../media/image25.png"/><Relationship Id="rId8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CTA!A1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#'LATVA Tables'!F10"/><Relationship Id="rId18" Type="http://schemas.openxmlformats.org/officeDocument/2006/relationships/hyperlink" Target="#'LATVA Tables'!I7"/><Relationship Id="rId26" Type="http://schemas.openxmlformats.org/officeDocument/2006/relationships/image" Target="../media/image26.svg"/><Relationship Id="rId3" Type="http://schemas.openxmlformats.org/officeDocument/2006/relationships/image" Target="../media/image23.png"/><Relationship Id="rId21" Type="http://schemas.openxmlformats.org/officeDocument/2006/relationships/hyperlink" Target="#'LATVA Tables'!N7"/><Relationship Id="rId34" Type="http://schemas.openxmlformats.org/officeDocument/2006/relationships/image" Target="../media/image11.png"/><Relationship Id="rId7" Type="http://schemas.openxmlformats.org/officeDocument/2006/relationships/image" Target="../media/image4.svg"/><Relationship Id="rId12" Type="http://schemas.openxmlformats.org/officeDocument/2006/relationships/hyperlink" Target="#'LATVA Tables'!F9"/><Relationship Id="rId17" Type="http://schemas.openxmlformats.org/officeDocument/2006/relationships/image" Target="../media/image18.svg"/><Relationship Id="rId25" Type="http://schemas.openxmlformats.org/officeDocument/2006/relationships/image" Target="../media/image25.png"/><Relationship Id="rId33" Type="http://schemas.openxmlformats.org/officeDocument/2006/relationships/image" Target="../media/image10.png"/><Relationship Id="rId2" Type="http://schemas.openxmlformats.org/officeDocument/2006/relationships/hyperlink" Target="#Dashboard!A1"/><Relationship Id="rId16" Type="http://schemas.openxmlformats.org/officeDocument/2006/relationships/image" Target="../media/image17.png"/><Relationship Id="rId20" Type="http://schemas.openxmlformats.org/officeDocument/2006/relationships/image" Target="../media/image13.svg"/><Relationship Id="rId29" Type="http://schemas.openxmlformats.org/officeDocument/2006/relationships/hyperlink" Target="#LATVA!N7"/><Relationship Id="rId1" Type="http://schemas.openxmlformats.org/officeDocument/2006/relationships/hyperlink" Target="#CCTA!A1"/><Relationship Id="rId6" Type="http://schemas.openxmlformats.org/officeDocument/2006/relationships/image" Target="../media/image3.png"/><Relationship Id="rId11" Type="http://schemas.openxmlformats.org/officeDocument/2006/relationships/hyperlink" Target="#'Total Tables'!A1"/><Relationship Id="rId24" Type="http://schemas.openxmlformats.org/officeDocument/2006/relationships/image" Target="../media/image15.svg"/><Relationship Id="rId32" Type="http://schemas.openxmlformats.org/officeDocument/2006/relationships/image" Target="../media/image6.svg"/><Relationship Id="rId5" Type="http://schemas.openxmlformats.org/officeDocument/2006/relationships/hyperlink" Target="#'LATVA Tables'!A17"/><Relationship Id="rId15" Type="http://schemas.openxmlformats.org/officeDocument/2006/relationships/image" Target="../media/image8.png"/><Relationship Id="rId23" Type="http://schemas.openxmlformats.org/officeDocument/2006/relationships/image" Target="../media/image14.png"/><Relationship Id="rId28" Type="http://schemas.openxmlformats.org/officeDocument/2006/relationships/image" Target="../media/image30.emf"/><Relationship Id="rId10" Type="http://schemas.openxmlformats.org/officeDocument/2006/relationships/image" Target="../media/image22.svg"/><Relationship Id="rId19" Type="http://schemas.openxmlformats.org/officeDocument/2006/relationships/image" Target="../media/image12.png"/><Relationship Id="rId31" Type="http://schemas.openxmlformats.org/officeDocument/2006/relationships/image" Target="../media/image5.png"/><Relationship Id="rId4" Type="http://schemas.openxmlformats.org/officeDocument/2006/relationships/image" Target="../media/image24.svg"/><Relationship Id="rId9" Type="http://schemas.openxmlformats.org/officeDocument/2006/relationships/image" Target="../media/image21.png"/><Relationship Id="rId14" Type="http://schemas.openxmlformats.org/officeDocument/2006/relationships/image" Target="../media/image7.png"/><Relationship Id="rId22" Type="http://schemas.openxmlformats.org/officeDocument/2006/relationships/image" Target="../media/image9.png"/><Relationship Id="rId27" Type="http://schemas.openxmlformats.org/officeDocument/2006/relationships/image" Target="../media/image29.emf"/><Relationship Id="rId30" Type="http://schemas.openxmlformats.org/officeDocument/2006/relationships/hyperlink" Target="#'LATVA Tables'!A7"/><Relationship Id="rId35" Type="http://schemas.openxmlformats.org/officeDocument/2006/relationships/image" Target="../media/image16.png"/><Relationship Id="rId8" Type="http://schemas.openxmlformats.org/officeDocument/2006/relationships/hyperlink" Target="#'LATVA Tables'!F12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LATV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462169</xdr:colOff>
      <xdr:row>7</xdr:row>
      <xdr:rowOff>88209</xdr:rowOff>
    </xdr:from>
    <xdr:to>
      <xdr:col>2</xdr:col>
      <xdr:colOff>469209</xdr:colOff>
      <xdr:row>31</xdr:row>
      <xdr:rowOff>88210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7853CC5E-97E1-3F49-04BD-B9AE5FCD1723}"/>
            </a:ext>
          </a:extLst>
        </xdr:cNvPr>
        <xdr:cNvGrpSpPr/>
      </xdr:nvGrpSpPr>
      <xdr:grpSpPr>
        <a:xfrm>
          <a:off x="462169" y="1421709"/>
          <a:ext cx="1217275" cy="4572001"/>
          <a:chOff x="489502" y="1209674"/>
          <a:chExt cx="1232866" cy="4572001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C3DCA56-F063-41AF-2349-BF2B4AA9CA50}"/>
              </a:ext>
            </a:extLst>
          </xdr:cNvPr>
          <xdr:cNvSpPr/>
        </xdr:nvSpPr>
        <xdr:spPr>
          <a:xfrm>
            <a:off x="561976" y="1209674"/>
            <a:ext cx="1092475" cy="4572001"/>
          </a:xfrm>
          <a:prstGeom prst="roundRect">
            <a:avLst>
              <a:gd name="adj" fmla="val 50000"/>
            </a:avLst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9" name="TextBox 11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E0A7860-4712-C376-4A17-8F4CA317D9BB}"/>
              </a:ext>
            </a:extLst>
          </xdr:cNvPr>
          <xdr:cNvSpPr txBox="1"/>
        </xdr:nvSpPr>
        <xdr:spPr>
          <a:xfrm>
            <a:off x="489502" y="329151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CCTA</a:t>
            </a:r>
          </a:p>
        </xdr:txBody>
      </xdr:sp>
      <xdr:sp macro="" textlink="">
        <xdr:nvSpPr>
          <xdr:cNvPr id="10" name="TextBox 11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A949F3F-79DB-4A4C-B5EF-F6A88B2C2A54}"/>
              </a:ext>
            </a:extLst>
          </xdr:cNvPr>
          <xdr:cNvSpPr txBox="1"/>
        </xdr:nvSpPr>
        <xdr:spPr>
          <a:xfrm>
            <a:off x="506068" y="399056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LATVA</a:t>
            </a:r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49655A1-53A3-0A87-0D6A-268E3018F3AA}"/>
              </a:ext>
            </a:extLst>
          </xdr:cNvPr>
          <xdr:cNvGrpSpPr/>
        </xdr:nvGrpSpPr>
        <xdr:grpSpPr>
          <a:xfrm>
            <a:off x="775381" y="2296049"/>
            <a:ext cx="640948" cy="618645"/>
            <a:chOff x="512916" y="2597968"/>
            <a:chExt cx="212016" cy="220233"/>
          </a:xfrm>
        </xdr:grpSpPr>
        <xdr:grpSp>
          <xdr:nvGrpSpPr>
            <xdr:cNvPr id="19" name="Group 18">
              <a:extLst>
                <a:ext uri="{FF2B5EF4-FFF2-40B4-BE49-F238E27FC236}">
                  <a16:creationId xmlns:a16="http://schemas.microsoft.com/office/drawing/2014/main" id="{3E64A010-F445-BEE7-2868-8BB9D679A763}"/>
                </a:ext>
              </a:extLst>
            </xdr:cNvPr>
            <xdr:cNvGrpSpPr/>
          </xdr:nvGrpSpPr>
          <xdr:grpSpPr>
            <a:xfrm>
              <a:off x="512916" y="2597968"/>
              <a:ext cx="212016" cy="220233"/>
              <a:chOff x="-21006" y="47625"/>
              <a:chExt cx="812800" cy="844301"/>
            </a:xfrm>
          </xdr:grpSpPr>
          <xdr:sp macro="" textlink="">
            <xdr:nvSpPr>
              <xdr:cNvPr id="21" name="Freeform 14">
                <a:hlinkClick xmlns:r="http://schemas.openxmlformats.org/officeDocument/2006/relationships" r:id="rId3"/>
                <a:extLst>
                  <a:ext uri="{FF2B5EF4-FFF2-40B4-BE49-F238E27FC236}">
                    <a16:creationId xmlns:a16="http://schemas.microsoft.com/office/drawing/2014/main" id="{1B3801C1-73FA-D7EB-7C28-AC5101981ED4}"/>
                  </a:ext>
                </a:extLst>
              </xdr:cNvPr>
              <xdr:cNvSpPr/>
            </xdr:nvSpPr>
            <xdr:spPr>
              <a:xfrm>
                <a:off x="-21006" y="79126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solidFill>
                <a:srgbClr val="000000"/>
              </a:soli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2" name="TextBox 15">
                <a:extLst>
                  <a:ext uri="{FF2B5EF4-FFF2-40B4-BE49-F238E27FC236}">
                    <a16:creationId xmlns:a16="http://schemas.microsoft.com/office/drawing/2014/main" id="{B3620FB1-65CB-5395-A2F6-9F036E6C2AF8}"/>
                  </a:ext>
                </a:extLst>
              </xdr:cNvPr>
              <xdr:cNvSpPr txBox="1"/>
            </xdr:nvSpPr>
            <xdr:spPr>
              <a:xfrm>
                <a:off x="76200" y="47625"/>
                <a:ext cx="660400" cy="68897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679"/>
                  </a:lnSpc>
                </a:pPr>
                <a:endParaRPr/>
              </a:p>
            </xdr:txBody>
          </xdr:sp>
        </xdr:grpSp>
        <xdr:sp macro="[0]!Freeform16_Click" textlink="">
          <xdr:nvSpPr>
            <xdr:cNvPr id="20" name="Freeform 16">
              <a:extLst>
                <a:ext uri="{FF2B5EF4-FFF2-40B4-BE49-F238E27FC236}">
                  <a16:creationId xmlns:a16="http://schemas.microsoft.com/office/drawing/2014/main" id="{ABF9B61E-9609-A6F6-6818-77A91967D621}"/>
                </a:ext>
              </a:extLst>
            </xdr:cNvPr>
            <xdr:cNvSpPr/>
          </xdr:nvSpPr>
          <xdr:spPr>
            <a:xfrm>
              <a:off x="552296" y="2655560"/>
              <a:ext cx="133255" cy="113267"/>
            </a:xfrm>
            <a:custGeom>
              <a:avLst/>
              <a:gdLst/>
              <a:ahLst/>
              <a:cxnLst/>
              <a:rect l="l" t="t" r="r" b="b"/>
              <a:pathLst>
                <a:path w="133255" h="113267">
                  <a:moveTo>
                    <a:pt x="0" y="0"/>
                  </a:moveTo>
                  <a:lnTo>
                    <a:pt x="133255" y="0"/>
                  </a:lnTo>
                  <a:lnTo>
                    <a:pt x="133255" y="113266"/>
                  </a:lnTo>
                  <a:lnTo>
                    <a:pt x="0" y="11326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12</xdr:col>
      <xdr:colOff>545319</xdr:colOff>
      <xdr:row>21</xdr:row>
      <xdr:rowOff>173086</xdr:rowOff>
    </xdr:from>
    <xdr:to>
      <xdr:col>13</xdr:col>
      <xdr:colOff>245859</xdr:colOff>
      <xdr:row>23</xdr:row>
      <xdr:rowOff>124888</xdr:rowOff>
    </xdr:to>
    <xdr:sp macro="" textlink="">
      <xdr:nvSpPr>
        <xdr:cNvPr id="110" name="TextBox 34">
          <a:extLst>
            <a:ext uri="{FF2B5EF4-FFF2-40B4-BE49-F238E27FC236}">
              <a16:creationId xmlns:a16="http://schemas.microsoft.com/office/drawing/2014/main" id="{D1A24903-8552-6869-6598-1F126CABE189}"/>
            </a:ext>
          </a:extLst>
        </xdr:cNvPr>
        <xdr:cNvSpPr txBox="1"/>
      </xdr:nvSpPr>
      <xdr:spPr>
        <a:xfrm>
          <a:off x="7870910" y="4173586"/>
          <a:ext cx="311006" cy="332802"/>
        </a:xfrm>
        <a:prstGeom prst="rect">
          <a:avLst/>
        </a:prstGeom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960"/>
            </a:lnSpc>
          </a:pPr>
          <a:endParaRPr/>
        </a:p>
      </xdr:txBody>
    </xdr:sp>
    <xdr:clientData/>
  </xdr:twoCellAnchor>
  <xdr:twoCellAnchor>
    <xdr:from>
      <xdr:col>12</xdr:col>
      <xdr:colOff>122464</xdr:colOff>
      <xdr:row>16</xdr:row>
      <xdr:rowOff>47030</xdr:rowOff>
    </xdr:from>
    <xdr:to>
      <xdr:col>19</xdr:col>
      <xdr:colOff>168089</xdr:colOff>
      <xdr:row>38</xdr:row>
      <xdr:rowOff>132083</xdr:rowOff>
    </xdr:to>
    <xdr:grpSp>
      <xdr:nvGrpSpPr>
        <xdr:cNvPr id="7" name="Group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33EF39D-1B96-E385-BDE1-73C28C01E08D}"/>
            </a:ext>
          </a:extLst>
        </xdr:cNvPr>
        <xdr:cNvGrpSpPr/>
      </xdr:nvGrpSpPr>
      <xdr:grpSpPr>
        <a:xfrm>
          <a:off x="7383876" y="3095030"/>
          <a:ext cx="4281448" cy="4276053"/>
          <a:chOff x="7383876" y="3095030"/>
          <a:chExt cx="4601108" cy="4276053"/>
        </a:xfrm>
      </xdr:grpSpPr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76AA69F9-6A99-39ED-5340-2FDE8235FF9E}"/>
              </a:ext>
            </a:extLst>
          </xdr:cNvPr>
          <xdr:cNvGrpSpPr/>
        </xdr:nvGrpSpPr>
        <xdr:grpSpPr>
          <a:xfrm>
            <a:off x="7383876" y="3095030"/>
            <a:ext cx="4601108" cy="4276053"/>
            <a:chOff x="0" y="-47625"/>
            <a:chExt cx="1646138" cy="1520374"/>
          </a:xfrm>
        </xdr:grpSpPr>
        <xdr:sp macro="" textlink="">
          <xdr:nvSpPr>
            <xdr:cNvPr id="111" name="Freeform 2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D95E38B3-4240-5C8C-6782-44C08934D366}"/>
                </a:ext>
              </a:extLst>
            </xdr:cNvPr>
            <xdr:cNvSpPr/>
          </xdr:nvSpPr>
          <xdr:spPr>
            <a:xfrm>
              <a:off x="0" y="0"/>
              <a:ext cx="1646138" cy="899857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12" name="TextBox 30">
              <a:extLst>
                <a:ext uri="{FF2B5EF4-FFF2-40B4-BE49-F238E27FC236}">
                  <a16:creationId xmlns:a16="http://schemas.microsoft.com/office/drawing/2014/main" id="{40DF66C0-C82F-B9A0-BC50-E029B094044E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81" name="Freeform 4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235878C-98F5-9B3D-79F7-6A3431EE1AAB}"/>
              </a:ext>
            </a:extLst>
          </xdr:cNvPr>
          <xdr:cNvSpPr/>
        </xdr:nvSpPr>
        <xdr:spPr>
          <a:xfrm>
            <a:off x="11552065" y="3588972"/>
            <a:ext cx="10008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13</xdr:col>
      <xdr:colOff>497093</xdr:colOff>
      <xdr:row>18</xdr:row>
      <xdr:rowOff>109588</xdr:rowOff>
    </xdr:from>
    <xdr:to>
      <xdr:col>16</xdr:col>
      <xdr:colOff>229402</xdr:colOff>
      <xdr:row>19</xdr:row>
      <xdr:rowOff>178729</xdr:rowOff>
    </xdr:to>
    <xdr:sp macro="" textlink="">
      <xdr:nvSpPr>
        <xdr:cNvPr id="90" name="TextBox 87">
          <a:extLst>
            <a:ext uri="{FF2B5EF4-FFF2-40B4-BE49-F238E27FC236}">
              <a16:creationId xmlns:a16="http://schemas.microsoft.com/office/drawing/2014/main" id="{5CAB76B2-453D-BB76-E423-0AB4C2920DA5}"/>
            </a:ext>
          </a:extLst>
        </xdr:cNvPr>
        <xdr:cNvSpPr txBox="1"/>
      </xdr:nvSpPr>
      <xdr:spPr>
        <a:xfrm>
          <a:off x="8438972" y="3538588"/>
          <a:ext cx="1565051" cy="25964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Operators</a:t>
          </a:r>
        </a:p>
      </xdr:txBody>
    </xdr:sp>
    <xdr:clientData/>
  </xdr:twoCellAnchor>
  <xdr:twoCellAnchor>
    <xdr:from>
      <xdr:col>9</xdr:col>
      <xdr:colOff>541351</xdr:colOff>
      <xdr:row>28</xdr:row>
      <xdr:rowOff>78811</xdr:rowOff>
    </xdr:from>
    <xdr:to>
      <xdr:col>10</xdr:col>
      <xdr:colOff>477575</xdr:colOff>
      <xdr:row>29</xdr:row>
      <xdr:rowOff>106319</xdr:rowOff>
    </xdr:to>
    <xdr:sp macro="" textlink="">
      <xdr:nvSpPr>
        <xdr:cNvPr id="117" name="TextBox 110">
          <a:extLst>
            <a:ext uri="{FF2B5EF4-FFF2-40B4-BE49-F238E27FC236}">
              <a16:creationId xmlns:a16="http://schemas.microsoft.com/office/drawing/2014/main" id="{F7AA39A4-4D56-45A4-949F-54B94EC96420}"/>
            </a:ext>
          </a:extLst>
        </xdr:cNvPr>
        <xdr:cNvSpPr txBox="1"/>
      </xdr:nvSpPr>
      <xdr:spPr>
        <a:xfrm>
          <a:off x="6027751" y="5412811"/>
          <a:ext cx="545824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9</xdr:col>
      <xdr:colOff>522032</xdr:colOff>
      <xdr:row>32</xdr:row>
      <xdr:rowOff>14725</xdr:rowOff>
    </xdr:from>
    <xdr:to>
      <xdr:col>10</xdr:col>
      <xdr:colOff>506865</xdr:colOff>
      <xdr:row>33</xdr:row>
      <xdr:rowOff>42233</xdr:rowOff>
    </xdr:to>
    <xdr:sp macro="" textlink="">
      <xdr:nvSpPr>
        <xdr:cNvPr id="119" name="TextBox 110">
          <a:extLst>
            <a:ext uri="{FF2B5EF4-FFF2-40B4-BE49-F238E27FC236}">
              <a16:creationId xmlns:a16="http://schemas.microsoft.com/office/drawing/2014/main" id="{59DA1BE4-038A-9F0D-ABB9-2DF267F9C664}"/>
            </a:ext>
          </a:extLst>
        </xdr:cNvPr>
        <xdr:cNvSpPr txBox="1"/>
      </xdr:nvSpPr>
      <xdr:spPr>
        <a:xfrm>
          <a:off x="6008432" y="6110725"/>
          <a:ext cx="594433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4</xdr:col>
      <xdr:colOff>588063</xdr:colOff>
      <xdr:row>3</xdr:row>
      <xdr:rowOff>99739</xdr:rowOff>
    </xdr:from>
    <xdr:to>
      <xdr:col>10</xdr:col>
      <xdr:colOff>278948</xdr:colOff>
      <xdr:row>13</xdr:row>
      <xdr:rowOff>134551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3904F437-1B27-32DB-8269-CDB3935A356E}"/>
            </a:ext>
          </a:extLst>
        </xdr:cNvPr>
        <xdr:cNvGrpSpPr/>
      </xdr:nvGrpSpPr>
      <xdr:grpSpPr>
        <a:xfrm>
          <a:off x="3008534" y="671239"/>
          <a:ext cx="3321590" cy="1939812"/>
          <a:chOff x="2379177" y="614089"/>
          <a:chExt cx="3368417" cy="1939812"/>
        </a:xfrm>
      </xdr:grpSpPr>
      <xdr:grpSp>
        <xdr:nvGrpSpPr>
          <xdr:cNvPr id="150" name="Group 149">
            <a:extLst>
              <a:ext uri="{FF2B5EF4-FFF2-40B4-BE49-F238E27FC236}">
                <a16:creationId xmlns:a16="http://schemas.microsoft.com/office/drawing/2014/main" id="{888F5EAE-1E2F-0361-77FE-9953029F570F}"/>
              </a:ext>
            </a:extLst>
          </xdr:cNvPr>
          <xdr:cNvGrpSpPr/>
        </xdr:nvGrpSpPr>
        <xdr:grpSpPr>
          <a:xfrm>
            <a:off x="2379177" y="614089"/>
            <a:ext cx="3368417" cy="1939812"/>
            <a:chOff x="2855014" y="470013"/>
            <a:chExt cx="3348238" cy="1939812"/>
          </a:xfrm>
        </xdr:grpSpPr>
        <xdr:grpSp>
          <xdr:nvGrpSpPr>
            <xdr:cNvPr id="149" name="Group 148">
              <a:extLst>
                <a:ext uri="{FF2B5EF4-FFF2-40B4-BE49-F238E27FC236}">
                  <a16:creationId xmlns:a16="http://schemas.microsoft.com/office/drawing/2014/main" id="{4989DD18-A13D-3019-EA6E-B63C63B1F2EC}"/>
                </a:ext>
              </a:extLst>
            </xdr:cNvPr>
            <xdr:cNvGrpSpPr/>
          </xdr:nvGrpSpPr>
          <xdr:grpSpPr>
            <a:xfrm>
              <a:off x="2855014" y="470013"/>
              <a:ext cx="3348238" cy="1939812"/>
              <a:chOff x="2855014" y="470013"/>
              <a:chExt cx="3348238" cy="1939812"/>
            </a:xfrm>
          </xdr:grpSpPr>
          <xdr:grpSp>
            <xdr:nvGrpSpPr>
              <xdr:cNvPr id="24" name="Group 23">
                <a:extLst>
                  <a:ext uri="{FF2B5EF4-FFF2-40B4-BE49-F238E27FC236}">
                    <a16:creationId xmlns:a16="http://schemas.microsoft.com/office/drawing/2014/main" id="{3256F5CE-7E54-BC02-3458-486A9FB93021}"/>
                  </a:ext>
                </a:extLst>
              </xdr:cNvPr>
              <xdr:cNvGrpSpPr/>
            </xdr:nvGrpSpPr>
            <xdr:grpSpPr>
              <a:xfrm>
                <a:off x="2855014" y="470013"/>
                <a:ext cx="3348238" cy="1939812"/>
                <a:chOff x="0" y="-28575"/>
                <a:chExt cx="729839" cy="401980"/>
              </a:xfrm>
            </xdr:grpSpPr>
            <xdr:sp macro="" textlink="">
              <xdr:nvSpPr>
                <xdr:cNvPr id="25" name="Freeform 8">
                  <a:extLst>
                    <a:ext uri="{FF2B5EF4-FFF2-40B4-BE49-F238E27FC236}">
                      <a16:creationId xmlns:a16="http://schemas.microsoft.com/office/drawing/2014/main" id="{C8F53B1E-AB7B-C5CB-E071-387AF95EB1E2}"/>
                    </a:ext>
                  </a:extLst>
                </xdr:cNvPr>
                <xdr:cNvSpPr/>
              </xdr:nvSpPr>
              <xdr:spPr>
                <a:xfrm>
                  <a:off x="0" y="0"/>
                  <a:ext cx="729839" cy="3734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718918" h="373405">
                      <a:moveTo>
                        <a:pt x="76578" y="0"/>
                      </a:moveTo>
                      <a:lnTo>
                        <a:pt x="642340" y="0"/>
                      </a:lnTo>
                      <a:cubicBezTo>
                        <a:pt x="662650" y="0"/>
                        <a:pt x="682128" y="8068"/>
                        <a:pt x="696489" y="22429"/>
                      </a:cubicBezTo>
                      <a:cubicBezTo>
                        <a:pt x="710850" y="36791"/>
                        <a:pt x="718918" y="56269"/>
                        <a:pt x="718918" y="76578"/>
                      </a:cubicBezTo>
                      <a:lnTo>
                        <a:pt x="718918" y="296826"/>
                      </a:lnTo>
                      <a:cubicBezTo>
                        <a:pt x="718918" y="317136"/>
                        <a:pt x="710850" y="336614"/>
                        <a:pt x="696489" y="350975"/>
                      </a:cubicBezTo>
                      <a:cubicBezTo>
                        <a:pt x="682128" y="365337"/>
                        <a:pt x="662650" y="373405"/>
                        <a:pt x="642340" y="373405"/>
                      </a:cubicBezTo>
                      <a:lnTo>
                        <a:pt x="76578" y="373405"/>
                      </a:lnTo>
                      <a:cubicBezTo>
                        <a:pt x="56269" y="373405"/>
                        <a:pt x="36791" y="365337"/>
                        <a:pt x="22429" y="350975"/>
                      </a:cubicBezTo>
                      <a:cubicBezTo>
                        <a:pt x="8068" y="336614"/>
                        <a:pt x="0" y="317136"/>
                        <a:pt x="0" y="296826"/>
                      </a:cubicBezTo>
                      <a:lnTo>
                        <a:pt x="0" y="76578"/>
                      </a:lnTo>
                      <a:cubicBezTo>
                        <a:pt x="0" y="56269"/>
                        <a:pt x="8068" y="36791"/>
                        <a:pt x="22429" y="22429"/>
                      </a:cubicBezTo>
                      <a:cubicBezTo>
                        <a:pt x="36791" y="8068"/>
                        <a:pt x="56269" y="0"/>
                        <a:pt x="76578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26" name="TextBox 9">
                  <a:extLst>
                    <a:ext uri="{FF2B5EF4-FFF2-40B4-BE49-F238E27FC236}">
                      <a16:creationId xmlns:a16="http://schemas.microsoft.com/office/drawing/2014/main" id="{7A682344-C3F7-ED63-5F6E-6427598A69A9}"/>
                    </a:ext>
                  </a:extLst>
                </xdr:cNvPr>
                <xdr:cNvSpPr txBox="1"/>
              </xdr:nvSpPr>
              <xdr:spPr>
                <a:xfrm>
                  <a:off x="0" y="-28575"/>
                  <a:ext cx="718918" cy="401980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  <a:spcBef>
                      <a:spcPct val="0"/>
                    </a:spcBef>
                  </a:pPr>
                  <a:endParaRPr/>
                </a:p>
              </xdr:txBody>
            </xdr:sp>
          </xdr:grpSp>
          <xdr:sp macro="" textlink="">
            <xdr:nvSpPr>
              <xdr:cNvPr id="122" name="TextBox 88">
                <a:hlinkClick xmlns:r="http://schemas.openxmlformats.org/officeDocument/2006/relationships" r:id="rId9"/>
                <a:extLst>
                  <a:ext uri="{FF2B5EF4-FFF2-40B4-BE49-F238E27FC236}">
                    <a16:creationId xmlns:a16="http://schemas.microsoft.com/office/drawing/2014/main" id="{C8BC0EA8-1B98-BF4E-932B-927C373434B9}"/>
                  </a:ext>
                </a:extLst>
              </xdr:cNvPr>
              <xdr:cNvSpPr txBox="1"/>
            </xdr:nvSpPr>
            <xdr:spPr>
              <a:xfrm>
                <a:off x="3216343" y="1032428"/>
                <a:ext cx="2429241" cy="526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3919"/>
                  </a:lnSpc>
                </a:pPr>
                <a:r>
                  <a:rPr lang="en-US" sz="4400" b="1">
                    <a:solidFill>
                      <a:srgbClr val="FFFFFF"/>
                    </a:solidFill>
                    <a:latin typeface="Sukar Heavy"/>
                    <a:ea typeface="Sukar Heavy"/>
                    <a:cs typeface="Sukar Heavy"/>
                    <a:sym typeface="Sukar Heavy"/>
                  </a:rPr>
                  <a:t>$384.86</a:t>
                </a:r>
              </a:p>
            </xdr:txBody>
          </xdr:sp>
        </xdr:grpSp>
        <xdr:sp macro="" textlink="">
          <xdr:nvSpPr>
            <xdr:cNvPr id="127" name="TextBox 105">
              <a:extLst>
                <a:ext uri="{FF2B5EF4-FFF2-40B4-BE49-F238E27FC236}">
                  <a16:creationId xmlns:a16="http://schemas.microsoft.com/office/drawing/2014/main" id="{7FF966FC-4007-48AD-8117-7C72286109A6}"/>
                </a:ext>
              </a:extLst>
            </xdr:cNvPr>
            <xdr:cNvSpPr txBox="1"/>
          </xdr:nvSpPr>
          <xdr:spPr>
            <a:xfrm>
              <a:off x="5353940" y="1476876"/>
              <a:ext cx="579401" cy="214597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679"/>
                </a:lnSpc>
              </a:pPr>
              <a:r>
                <a:rPr lang="en-US" sz="1400" b="1">
                  <a:solidFill>
                    <a:schemeClr val="bg1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0.41%</a:t>
              </a:r>
            </a:p>
          </xdr:txBody>
        </xdr:sp>
      </xdr:grpSp>
      <xdr:sp macro="" textlink="">
        <xdr:nvSpPr>
          <xdr:cNvPr id="2" name="Freeform 35">
            <a:extLst>
              <a:ext uri="{FF2B5EF4-FFF2-40B4-BE49-F238E27FC236}">
                <a16:creationId xmlns:a16="http://schemas.microsoft.com/office/drawing/2014/main" id="{D7D0CABA-B8C5-4DB5-92C4-C2D6F7C86901}"/>
              </a:ext>
            </a:extLst>
          </xdr:cNvPr>
          <xdr:cNvSpPr/>
        </xdr:nvSpPr>
        <xdr:spPr>
          <a:xfrm>
            <a:off x="4961466" y="1214363"/>
            <a:ext cx="379387" cy="213430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554230</xdr:colOff>
      <xdr:row>4</xdr:row>
      <xdr:rowOff>67793</xdr:rowOff>
    </xdr:from>
    <xdr:to>
      <xdr:col>18</xdr:col>
      <xdr:colOff>416544</xdr:colOff>
      <xdr:row>13</xdr:row>
      <xdr:rowOff>150619</xdr:rowOff>
    </xdr:to>
    <xdr:grpSp>
      <xdr:nvGrpSpPr>
        <xdr:cNvPr id="222" name="Group 22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20B1470-3DEF-CDC7-191D-1EF47EA3F3BB}"/>
            </a:ext>
          </a:extLst>
        </xdr:cNvPr>
        <xdr:cNvGrpSpPr/>
      </xdr:nvGrpSpPr>
      <xdr:grpSpPr>
        <a:xfrm>
          <a:off x="7815642" y="829793"/>
          <a:ext cx="3493020" cy="1797326"/>
          <a:chOff x="7329810" y="683557"/>
          <a:chExt cx="3532589" cy="1797326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99D8F4AB-DC5A-7C31-94F2-E90878454A2E}"/>
              </a:ext>
            </a:extLst>
          </xdr:cNvPr>
          <xdr:cNvGrpSpPr/>
        </xdr:nvGrpSpPr>
        <xdr:grpSpPr>
          <a:xfrm>
            <a:off x="7329810" y="683557"/>
            <a:ext cx="3532589" cy="1797326"/>
            <a:chOff x="7307819" y="683557"/>
            <a:chExt cx="3520592" cy="1797326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5F39D708-1C62-6E7D-C0D4-D2BA0BC3ACF5}"/>
                </a:ext>
              </a:extLst>
            </xdr:cNvPr>
            <xdr:cNvGrpSpPr/>
          </xdr:nvGrpSpPr>
          <xdr:grpSpPr>
            <a:xfrm>
              <a:off x="7307819" y="683557"/>
              <a:ext cx="3520592" cy="1797326"/>
              <a:chOff x="7176826" y="896470"/>
              <a:chExt cx="3485816" cy="1797326"/>
            </a:xfrm>
          </xdr:grpSpPr>
          <xdr:grpSp>
            <xdr:nvGrpSpPr>
              <xdr:cNvPr id="33" name="Group 32">
                <a:extLst>
                  <a:ext uri="{FF2B5EF4-FFF2-40B4-BE49-F238E27FC236}">
                    <a16:creationId xmlns:a16="http://schemas.microsoft.com/office/drawing/2014/main" id="{BC2D4EDD-82D3-6FF6-95E2-9A2E453827FB}"/>
                  </a:ext>
                </a:extLst>
              </xdr:cNvPr>
              <xdr:cNvGrpSpPr/>
            </xdr:nvGrpSpPr>
            <xdr:grpSpPr>
              <a:xfrm>
                <a:off x="7176826" y="896470"/>
                <a:ext cx="3485816" cy="1797326"/>
                <a:chOff x="0" y="-47625"/>
                <a:chExt cx="1345269" cy="904537"/>
              </a:xfrm>
            </xdr:grpSpPr>
            <xdr:sp macro="" textlink="">
              <xdr:nvSpPr>
                <xdr:cNvPr id="34" name="Freeform 67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496E3B24-FD78-57B5-5679-B561F5C3291E}"/>
                    </a:ext>
                  </a:extLst>
                </xdr:cNvPr>
                <xdr:cNvSpPr/>
              </xdr:nvSpPr>
              <xdr:spPr>
                <a:xfrm>
                  <a:off x="0" y="0"/>
                  <a:ext cx="1345269" cy="8569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45269" h="856912">
                      <a:moveTo>
                        <a:pt x="34785" y="0"/>
                      </a:moveTo>
                      <a:lnTo>
                        <a:pt x="1310483" y="0"/>
                      </a:lnTo>
                      <a:cubicBezTo>
                        <a:pt x="1319709" y="0"/>
                        <a:pt x="1328557" y="3665"/>
                        <a:pt x="1335080" y="10188"/>
                      </a:cubicBezTo>
                      <a:cubicBezTo>
                        <a:pt x="1341604" y="16712"/>
                        <a:pt x="1345269" y="25560"/>
                        <a:pt x="1345269" y="34785"/>
                      </a:cubicBezTo>
                      <a:lnTo>
                        <a:pt x="1345269" y="822127"/>
                      </a:lnTo>
                      <a:cubicBezTo>
                        <a:pt x="1345269" y="831352"/>
                        <a:pt x="1341604" y="840200"/>
                        <a:pt x="1335080" y="846724"/>
                      </a:cubicBezTo>
                      <a:cubicBezTo>
                        <a:pt x="1328557" y="853247"/>
                        <a:pt x="1319709" y="856912"/>
                        <a:pt x="1310483" y="856912"/>
                      </a:cubicBezTo>
                      <a:lnTo>
                        <a:pt x="34785" y="856912"/>
                      </a:lnTo>
                      <a:cubicBezTo>
                        <a:pt x="25560" y="856912"/>
                        <a:pt x="16712" y="853247"/>
                        <a:pt x="10188" y="846724"/>
                      </a:cubicBezTo>
                      <a:cubicBezTo>
                        <a:pt x="3665" y="840200"/>
                        <a:pt x="0" y="831352"/>
                        <a:pt x="0" y="822127"/>
                      </a:cubicBezTo>
                      <a:lnTo>
                        <a:pt x="0" y="34785"/>
                      </a:lnTo>
                      <a:cubicBezTo>
                        <a:pt x="0" y="25560"/>
                        <a:pt x="3665" y="16712"/>
                        <a:pt x="10188" y="10188"/>
                      </a:cubicBezTo>
                      <a:cubicBezTo>
                        <a:pt x="16712" y="3665"/>
                        <a:pt x="25560" y="0"/>
                        <a:pt x="34785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35" name="TextBox 68">
                  <a:extLst>
                    <a:ext uri="{FF2B5EF4-FFF2-40B4-BE49-F238E27FC236}">
                      <a16:creationId xmlns:a16="http://schemas.microsoft.com/office/drawing/2014/main" id="{CF565C2B-92EB-2C53-F120-39BD70A11530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345268" cy="904537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140" name="TextBox 151">
                <a:extLst>
                  <a:ext uri="{FF2B5EF4-FFF2-40B4-BE49-F238E27FC236}">
                    <a16:creationId xmlns:a16="http://schemas.microsoft.com/office/drawing/2014/main" id="{21118F76-897E-BE09-B347-C9B1457B53DF}"/>
                  </a:ext>
                </a:extLst>
              </xdr:cNvPr>
              <xdr:cNvSpPr txBox="1"/>
            </xdr:nvSpPr>
            <xdr:spPr>
              <a:xfrm>
                <a:off x="8080343" y="1175634"/>
                <a:ext cx="1535585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Latest</a:t>
                </a:r>
                <a:r>
                  <a:rPr lang="en-US" sz="1599" b="1" baseline="0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 Payment</a:t>
                </a:r>
                <a:endPara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endParaRPr>
              </a:p>
            </xdr:txBody>
          </xdr:sp>
          <xdr:sp macro="" textlink="">
            <xdr:nvSpPr>
              <xdr:cNvPr id="141" name="TextBox 153">
                <a:hlinkClick xmlns:r="http://schemas.openxmlformats.org/officeDocument/2006/relationships" r:id="rId13"/>
                <a:extLst>
                  <a:ext uri="{FF2B5EF4-FFF2-40B4-BE49-F238E27FC236}">
                    <a16:creationId xmlns:a16="http://schemas.microsoft.com/office/drawing/2014/main" id="{EA86859F-AE76-8F67-74A6-76FE02C7A128}"/>
                  </a:ext>
                </a:extLst>
              </xdr:cNvPr>
              <xdr:cNvSpPr txBox="1"/>
            </xdr:nvSpPr>
            <xdr:spPr>
              <a:xfrm>
                <a:off x="8080343" y="1580156"/>
                <a:ext cx="1068811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$ 92,962.37 </a:t>
                </a:r>
              </a:p>
            </xdr:txBody>
          </xdr:sp>
          <xdr:sp macro="" textlink="">
            <xdr:nvSpPr>
              <xdr:cNvPr id="142" name="TextBox 154">
                <a:extLst>
                  <a:ext uri="{FF2B5EF4-FFF2-40B4-BE49-F238E27FC236}">
                    <a16:creationId xmlns:a16="http://schemas.microsoft.com/office/drawing/2014/main" id="{EF43EB98-5B6E-4C4E-D877-F019C6CE662C}"/>
                  </a:ext>
                </a:extLst>
              </xdr:cNvPr>
              <xdr:cNvSpPr txBox="1"/>
            </xdr:nvSpPr>
            <xdr:spPr>
              <a:xfrm>
                <a:off x="8069135" y="1898666"/>
                <a:ext cx="1762009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Previous Payment</a:t>
                </a:r>
              </a:p>
            </xdr:txBody>
          </xdr:sp>
          <xdr:sp macro="" textlink="">
            <xdr:nvSpPr>
              <xdr:cNvPr id="143" name="TextBox 156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E00832D3-FF8A-A8EB-C3B7-35B6333C95E9}"/>
                  </a:ext>
                </a:extLst>
              </xdr:cNvPr>
              <xdr:cNvSpPr txBox="1"/>
            </xdr:nvSpPr>
            <xdr:spPr>
              <a:xfrm>
                <a:off x="8069135" y="2301277"/>
                <a:ext cx="1104535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 b="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</a:t>
                </a: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93,346.83 </a:t>
                </a:r>
              </a:p>
            </xdr:txBody>
          </xdr:sp>
          <xdr:grpSp>
            <xdr:nvGrpSpPr>
              <xdr:cNvPr id="157" name="Group 156">
                <a:extLst>
                  <a:ext uri="{FF2B5EF4-FFF2-40B4-BE49-F238E27FC236}">
                    <a16:creationId xmlns:a16="http://schemas.microsoft.com/office/drawing/2014/main" id="{A0F1A483-F53E-7431-B334-C8B08DBDA7A5}"/>
                  </a:ext>
                </a:extLst>
              </xdr:cNvPr>
              <xdr:cNvGrpSpPr/>
            </xdr:nvGrpSpPr>
            <xdr:grpSpPr>
              <a:xfrm>
                <a:off x="7450746" y="1138670"/>
                <a:ext cx="638938" cy="1257540"/>
                <a:chOff x="7483834" y="1138670"/>
                <a:chExt cx="643128" cy="1257540"/>
              </a:xfrm>
            </xdr:grpSpPr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CBD80DAE-D4E8-8D70-90AA-03AB0FC9EFD4}"/>
                    </a:ext>
                  </a:extLst>
                </xdr:cNvPr>
                <xdr:cNvGrpSpPr/>
              </xdr:nvGrpSpPr>
              <xdr:grpSpPr>
                <a:xfrm>
                  <a:off x="7483834" y="1138670"/>
                  <a:ext cx="640697" cy="557582"/>
                  <a:chOff x="7483834" y="1138670"/>
                  <a:chExt cx="640697" cy="557582"/>
                </a:xfrm>
              </xdr:grpSpPr>
              <xdr:grpSp>
                <xdr:nvGrpSpPr>
                  <xdr:cNvPr id="136" name="Group 135">
                    <a:extLst>
                      <a:ext uri="{FF2B5EF4-FFF2-40B4-BE49-F238E27FC236}">
                        <a16:creationId xmlns:a16="http://schemas.microsoft.com/office/drawing/2014/main" id="{72D76792-CAC8-B70C-35CC-1C0DC995EFAB}"/>
                      </a:ext>
                    </a:extLst>
                  </xdr:cNvPr>
                  <xdr:cNvGrpSpPr/>
                </xdr:nvGrpSpPr>
                <xdr:grpSpPr>
                  <a:xfrm>
                    <a:off x="7483834" y="1138670"/>
                    <a:ext cx="640697" cy="557582"/>
                    <a:chOff x="-79808" y="-47625"/>
                    <a:chExt cx="251512" cy="222411"/>
                  </a:xfrm>
                </xdr:grpSpPr>
                <xdr:sp macro="" textlink="">
                  <xdr:nvSpPr>
                    <xdr:cNvPr id="146" name="Freeform 71">
                      <a:extLst>
                        <a:ext uri="{FF2B5EF4-FFF2-40B4-BE49-F238E27FC236}">
                          <a16:creationId xmlns:a16="http://schemas.microsoft.com/office/drawing/2014/main" id="{4DBBB121-406E-2FDA-FAF4-3BB0F9656E6A}"/>
                        </a:ext>
                      </a:extLst>
                    </xdr:cNvPr>
                    <xdr:cNvSpPr/>
                  </xdr:nvSpPr>
                  <xdr:spPr>
                    <a:xfrm>
                      <a:off x="-79808" y="3082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47" name="TextBox 72">
                      <a:extLst>
                        <a:ext uri="{FF2B5EF4-FFF2-40B4-BE49-F238E27FC236}">
                          <a16:creationId xmlns:a16="http://schemas.microsoft.com/office/drawing/2014/main" id="{78FE401B-9BFB-D7DE-D7F0-EC2CB991ED1E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38" name="Freeform 109">
                    <a:extLst>
                      <a:ext uri="{FF2B5EF4-FFF2-40B4-BE49-F238E27FC236}">
                        <a16:creationId xmlns:a16="http://schemas.microsoft.com/office/drawing/2014/main" id="{76D556B6-B067-9473-0CA5-C97406A35424}"/>
                      </a:ext>
                    </a:extLst>
                  </xdr:cNvPr>
                  <xdr:cNvSpPr/>
                </xdr:nvSpPr>
                <xdr:spPr>
                  <a:xfrm>
                    <a:off x="7594834" y="1354645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5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  <xdr:grpSp>
              <xdr:nvGrpSpPr>
                <xdr:cNvPr id="152" name="Group 151">
                  <a:extLst>
                    <a:ext uri="{FF2B5EF4-FFF2-40B4-BE49-F238E27FC236}">
                      <a16:creationId xmlns:a16="http://schemas.microsoft.com/office/drawing/2014/main" id="{3BFB819F-B000-4F59-BE5B-F130484E849F}"/>
                    </a:ext>
                  </a:extLst>
                </xdr:cNvPr>
                <xdr:cNvGrpSpPr/>
              </xdr:nvGrpSpPr>
              <xdr:grpSpPr>
                <a:xfrm>
                  <a:off x="7486255" y="1846356"/>
                  <a:ext cx="640707" cy="549854"/>
                  <a:chOff x="7483824" y="1138670"/>
                  <a:chExt cx="640707" cy="549854"/>
                </a:xfrm>
              </xdr:grpSpPr>
              <xdr:grpSp>
                <xdr:nvGrpSpPr>
                  <xdr:cNvPr id="153" name="Group 152">
                    <a:extLst>
                      <a:ext uri="{FF2B5EF4-FFF2-40B4-BE49-F238E27FC236}">
                        <a16:creationId xmlns:a16="http://schemas.microsoft.com/office/drawing/2014/main" id="{6735B01D-54D1-F2D4-0F03-1D01BD1213AD}"/>
                      </a:ext>
                    </a:extLst>
                  </xdr:cNvPr>
                  <xdr:cNvGrpSpPr/>
                </xdr:nvGrpSpPr>
                <xdr:grpSpPr>
                  <a:xfrm>
                    <a:off x="7483824" y="1138670"/>
                    <a:ext cx="640707" cy="549854"/>
                    <a:chOff x="-79812" y="-47625"/>
                    <a:chExt cx="251516" cy="219329"/>
                  </a:xfrm>
                </xdr:grpSpPr>
                <xdr:sp macro="" textlink="">
                  <xdr:nvSpPr>
                    <xdr:cNvPr id="155" name="Freeform 71">
                      <a:extLst>
                        <a:ext uri="{FF2B5EF4-FFF2-40B4-BE49-F238E27FC236}">
                          <a16:creationId xmlns:a16="http://schemas.microsoft.com/office/drawing/2014/main" id="{99FF86C4-03BC-26B9-AA35-3312631C9017}"/>
                        </a:ext>
                      </a:extLst>
                    </xdr:cNvPr>
                    <xdr:cNvSpPr/>
                  </xdr:nvSpPr>
                  <xdr:spPr>
                    <a:xfrm>
                      <a:off x="-79812" y="0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56" name="TextBox 72">
                      <a:extLst>
                        <a:ext uri="{FF2B5EF4-FFF2-40B4-BE49-F238E27FC236}">
                          <a16:creationId xmlns:a16="http://schemas.microsoft.com/office/drawing/2014/main" id="{F1BBE124-B87E-7881-32DC-62D67CBD6779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54" name="Freeform 109">
                    <a:extLst>
                      <a:ext uri="{FF2B5EF4-FFF2-40B4-BE49-F238E27FC236}">
                        <a16:creationId xmlns:a16="http://schemas.microsoft.com/office/drawing/2014/main" id="{4425CC49-0DA3-61F5-0DD4-7EA62487FBD0}"/>
                      </a:ext>
                    </a:extLst>
                  </xdr:cNvPr>
                  <xdr:cNvSpPr/>
                </xdr:nvSpPr>
                <xdr:spPr>
                  <a:xfrm>
                    <a:off x="7594824" y="1346918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5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</xdr:grpSp>
        </xdr:grpSp>
        <xdr:sp macro="" textlink="">
          <xdr:nvSpPr>
            <xdr:cNvPr id="3" name="TextBox 156">
              <a:extLst>
                <a:ext uri="{FF2B5EF4-FFF2-40B4-BE49-F238E27FC236}">
                  <a16:creationId xmlns:a16="http://schemas.microsoft.com/office/drawing/2014/main" id="{AED6DA6A-62D7-4A21-A133-4AEB017283FA}"/>
                </a:ext>
              </a:extLst>
            </xdr:cNvPr>
            <xdr:cNvSpPr txBox="1"/>
          </xdr:nvSpPr>
          <xdr:spPr>
            <a:xfrm>
              <a:off x="8217985" y="1174046"/>
              <a:ext cx="2038105" cy="2076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050" b="0">
                  <a:solidFill>
                    <a:schemeClr val="bg2">
                      <a:lumMod val="50000"/>
                    </a:schemeClr>
                  </a:solidFill>
                  <a:latin typeface="Poppins"/>
                  <a:ea typeface="Poppins"/>
                  <a:cs typeface="Poppins"/>
                  <a:sym typeface="Poppins"/>
                </a:rPr>
                <a:t>VDP_DIV5_1021_1103_FINAL</a:t>
              </a:r>
              <a:endParaRPr lang="en-US" sz="105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endParaRPr>
            </a:p>
          </xdr:txBody>
        </xdr:sp>
      </xdr:grpSp>
      <xdr:sp macro="" textlink="">
        <xdr:nvSpPr>
          <xdr:cNvPr id="5" name="TextBox 156">
            <a:extLst>
              <a:ext uri="{FF2B5EF4-FFF2-40B4-BE49-F238E27FC236}">
                <a16:creationId xmlns:a16="http://schemas.microsoft.com/office/drawing/2014/main" id="{4968A561-0841-461B-91FE-AA4C03F974BB}"/>
              </a:ext>
            </a:extLst>
          </xdr:cNvPr>
          <xdr:cNvSpPr txBox="1"/>
        </xdr:nvSpPr>
        <xdr:spPr>
          <a:xfrm>
            <a:off x="8226396" y="1892499"/>
            <a:ext cx="2479347" cy="2076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050" b="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rPr>
              <a:t>DONE-VDP_DIV5_1007_1020_FINAL</a:t>
            </a:r>
            <a:endParaRPr lang="en-US" sz="1050">
              <a:solidFill>
                <a:schemeClr val="bg2">
                  <a:lumMod val="50000"/>
                </a:schemeClr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</xdr:grpSp>
    <xdr:clientData/>
  </xdr:twoCellAnchor>
  <xdr:twoCellAnchor>
    <xdr:from>
      <xdr:col>3</xdr:col>
      <xdr:colOff>523875</xdr:colOff>
      <xdr:row>16</xdr:row>
      <xdr:rowOff>37505</xdr:rowOff>
    </xdr:from>
    <xdr:to>
      <xdr:col>11</xdr:col>
      <xdr:colOff>276838</xdr:colOff>
      <xdr:row>38</xdr:row>
      <xdr:rowOff>122558</xdr:rowOff>
    </xdr:to>
    <xdr:grpSp>
      <xdr:nvGrpSpPr>
        <xdr:cNvPr id="223" name="Group 222">
          <a:extLst>
            <a:ext uri="{FF2B5EF4-FFF2-40B4-BE49-F238E27FC236}">
              <a16:creationId xmlns:a16="http://schemas.microsoft.com/office/drawing/2014/main" id="{3ECFEE48-9404-4468-9E05-58716FEBCD1C}"/>
            </a:ext>
          </a:extLst>
        </xdr:cNvPr>
        <xdr:cNvGrpSpPr/>
      </xdr:nvGrpSpPr>
      <xdr:grpSpPr>
        <a:xfrm>
          <a:off x="2339228" y="3085505"/>
          <a:ext cx="4593904" cy="4276053"/>
          <a:chOff x="2190750" y="2647355"/>
          <a:chExt cx="4629763" cy="4276053"/>
        </a:xfrm>
      </xdr:grpSpPr>
      <xdr:grpSp>
        <xdr:nvGrpSpPr>
          <xdr:cNvPr id="224" name="Group 223">
            <a:extLst>
              <a:ext uri="{FF2B5EF4-FFF2-40B4-BE49-F238E27FC236}">
                <a16:creationId xmlns:a16="http://schemas.microsoft.com/office/drawing/2014/main" id="{A5203CCC-CE55-16A3-FE3A-DC2B28E2FDA9}"/>
              </a:ext>
            </a:extLst>
          </xdr:cNvPr>
          <xdr:cNvGrpSpPr/>
        </xdr:nvGrpSpPr>
        <xdr:grpSpPr>
          <a:xfrm>
            <a:off x="2190750" y="2647355"/>
            <a:ext cx="4629763" cy="4276053"/>
            <a:chOff x="2162175" y="2771180"/>
            <a:chExt cx="4629763" cy="4276053"/>
          </a:xfrm>
        </xdr:grpSpPr>
        <xdr:grpSp>
          <xdr:nvGrpSpPr>
            <xdr:cNvPr id="226" name="Group 225">
              <a:extLst>
                <a:ext uri="{FF2B5EF4-FFF2-40B4-BE49-F238E27FC236}">
                  <a16:creationId xmlns:a16="http://schemas.microsoft.com/office/drawing/2014/main" id="{B8D09190-CF94-BEE8-449D-4CE604C152D5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62" name="Freeform 29">
                <a:hlinkClick xmlns:r="http://schemas.openxmlformats.org/officeDocument/2006/relationships" r:id="rId12"/>
                <a:extLst>
                  <a:ext uri="{FF2B5EF4-FFF2-40B4-BE49-F238E27FC236}">
                    <a16:creationId xmlns:a16="http://schemas.microsoft.com/office/drawing/2014/main" id="{5EF3CB67-EF80-F09C-4FE2-234E71CEBCF1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3" name="TextBox 30">
                <a:extLst>
                  <a:ext uri="{FF2B5EF4-FFF2-40B4-BE49-F238E27FC236}">
                    <a16:creationId xmlns:a16="http://schemas.microsoft.com/office/drawing/2014/main" id="{969D27CE-895E-E9AA-A837-D7CA2F2FA781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27" name="Picture 226">
              <a:extLst>
                <a:ext uri="{FF2B5EF4-FFF2-40B4-BE49-F238E27FC236}">
                  <a16:creationId xmlns:a16="http://schemas.microsoft.com/office/drawing/2014/main" id="{CA6720CF-4E9C-2A65-3E71-2F654773B6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449748" y="3737641"/>
              <a:ext cx="579378" cy="579378"/>
            </a:xfrm>
            <a:prstGeom prst="rect">
              <a:avLst/>
            </a:prstGeom>
          </xdr:spPr>
        </xdr:pic>
        <xdr:grpSp>
          <xdr:nvGrpSpPr>
            <xdr:cNvPr id="228" name="Group 227">
              <a:extLst>
                <a:ext uri="{FF2B5EF4-FFF2-40B4-BE49-F238E27FC236}">
                  <a16:creationId xmlns:a16="http://schemas.microsoft.com/office/drawing/2014/main" id="{84AAE5E6-1FBB-94C0-BB25-FC8E323B0462}"/>
                </a:ext>
              </a:extLst>
            </xdr:cNvPr>
            <xdr:cNvGrpSpPr/>
          </xdr:nvGrpSpPr>
          <xdr:grpSpPr>
            <a:xfrm>
              <a:off x="2548412" y="3836305"/>
              <a:ext cx="382051" cy="382051"/>
              <a:chOff x="0" y="0"/>
              <a:chExt cx="812800" cy="812800"/>
            </a:xfrm>
          </xdr:grpSpPr>
          <xdr:sp macro="" textlink="">
            <xdr:nvSpPr>
              <xdr:cNvPr id="260" name="Freeform 33">
                <a:extLst>
                  <a:ext uri="{FF2B5EF4-FFF2-40B4-BE49-F238E27FC236}">
                    <a16:creationId xmlns:a16="http://schemas.microsoft.com/office/drawing/2014/main" id="{5EEE83B7-038D-969C-C791-0ED3252F52C2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1" name="TextBox 34">
                <a:extLst>
                  <a:ext uri="{FF2B5EF4-FFF2-40B4-BE49-F238E27FC236}">
                    <a16:creationId xmlns:a16="http://schemas.microsoft.com/office/drawing/2014/main" id="{F0602DE1-4EAD-2E8E-854A-4F1D5E16C847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29" name="Freeform 35">
              <a:extLst>
                <a:ext uri="{FF2B5EF4-FFF2-40B4-BE49-F238E27FC236}">
                  <a16:creationId xmlns:a16="http://schemas.microsoft.com/office/drawing/2014/main" id="{895FD78F-A63F-EFFC-C28A-14D7F432C3FF}"/>
                </a:ext>
              </a:extLst>
            </xdr:cNvPr>
            <xdr:cNvSpPr/>
          </xdr:nvSpPr>
          <xdr:spPr>
            <a:xfrm>
              <a:off x="6154879" y="3848352"/>
              <a:ext cx="239576" cy="143745"/>
            </a:xfrm>
            <a:custGeom>
              <a:avLst/>
              <a:gdLst/>
              <a:ahLst/>
              <a:cxnLst/>
              <a:rect l="l" t="t" r="r" b="b"/>
              <a:pathLst>
                <a:path w="239576" h="143745">
                  <a:moveTo>
                    <a:pt x="0" y="0"/>
                  </a:moveTo>
                  <a:lnTo>
                    <a:pt x="239576" y="0"/>
                  </a:lnTo>
                  <a:lnTo>
                    <a:pt x="239576" y="143746"/>
                  </a:lnTo>
                  <a:lnTo>
                    <a:pt x="0" y="14374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0">
                <a:extLst>
                  <a:ext uri="{96DAC541-7B7A-43D3-8B79-37D633B846F1}">
                    <asvg:svgBlip xmlns:asvg="http://schemas.microsoft.com/office/drawing/2016/SVG/main" r:embed="rId11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0" name="Picture 229">
              <a:extLst>
                <a:ext uri="{FF2B5EF4-FFF2-40B4-BE49-F238E27FC236}">
                  <a16:creationId xmlns:a16="http://schemas.microsoft.com/office/drawing/2014/main" id="{BCC49CBF-E953-1588-F22C-ED25990E7B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447839" y="4450156"/>
              <a:ext cx="580384" cy="580384"/>
            </a:xfrm>
            <a:prstGeom prst="rect">
              <a:avLst/>
            </a:prstGeom>
          </xdr:spPr>
        </xdr:pic>
        <xdr:grpSp>
          <xdr:nvGrpSpPr>
            <xdr:cNvPr id="231" name="Group 230">
              <a:extLst>
                <a:ext uri="{FF2B5EF4-FFF2-40B4-BE49-F238E27FC236}">
                  <a16:creationId xmlns:a16="http://schemas.microsoft.com/office/drawing/2014/main" id="{C3EEA30E-42B0-088C-9004-ABB9EE53895F}"/>
                </a:ext>
              </a:extLst>
            </xdr:cNvPr>
            <xdr:cNvGrpSpPr/>
          </xdr:nvGrpSpPr>
          <xdr:grpSpPr>
            <a:xfrm>
              <a:off x="2546674" y="4548990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8" name="Freeform 38">
                <a:extLst>
                  <a:ext uri="{FF2B5EF4-FFF2-40B4-BE49-F238E27FC236}">
                    <a16:creationId xmlns:a16="http://schemas.microsoft.com/office/drawing/2014/main" id="{EC7B77A9-8EB2-D7D5-5104-F4E915EF06D9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9" name="TextBox 39">
                <a:extLst>
                  <a:ext uri="{FF2B5EF4-FFF2-40B4-BE49-F238E27FC236}">
                    <a16:creationId xmlns:a16="http://schemas.microsoft.com/office/drawing/2014/main" id="{7B64D38A-D3A6-99F3-E5B5-D1312A1C9653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32" name="Picture 231">
              <a:extLst>
                <a:ext uri="{FF2B5EF4-FFF2-40B4-BE49-F238E27FC236}">
                  <a16:creationId xmlns:a16="http://schemas.microsoft.com/office/drawing/2014/main" id="{351DB127-10AA-E6FD-1664-7FC51BC0DF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449665" y="5162409"/>
              <a:ext cx="580384" cy="580384"/>
            </a:xfrm>
            <a:prstGeom prst="rect">
              <a:avLst/>
            </a:prstGeom>
          </xdr:spPr>
        </xdr:pic>
        <xdr:grpSp>
          <xdr:nvGrpSpPr>
            <xdr:cNvPr id="233" name="Group 232">
              <a:extLst>
                <a:ext uri="{FF2B5EF4-FFF2-40B4-BE49-F238E27FC236}">
                  <a16:creationId xmlns:a16="http://schemas.microsoft.com/office/drawing/2014/main" id="{21528EFB-FC57-F01F-4A8A-0C61CE9A145C}"/>
                </a:ext>
              </a:extLst>
            </xdr:cNvPr>
            <xdr:cNvGrpSpPr/>
          </xdr:nvGrpSpPr>
          <xdr:grpSpPr>
            <a:xfrm>
              <a:off x="2548500" y="5261244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6" name="Freeform 43">
                <a:extLst>
                  <a:ext uri="{FF2B5EF4-FFF2-40B4-BE49-F238E27FC236}">
                    <a16:creationId xmlns:a16="http://schemas.microsoft.com/office/drawing/2014/main" id="{432B36EE-A584-33A9-8ACF-67CB330AD41E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7" name="TextBox 44">
                <a:extLst>
                  <a:ext uri="{FF2B5EF4-FFF2-40B4-BE49-F238E27FC236}">
                    <a16:creationId xmlns:a16="http://schemas.microsoft.com/office/drawing/2014/main" id="{C83D1407-CD38-AAEA-5606-36B496DD6DEA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4" name="Freeform 4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F8E6AE41-4909-7347-81DF-F5BEEAECE807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7">
                <a:extLs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5" name="Picture 234">
              <a:extLst>
                <a:ext uri="{FF2B5EF4-FFF2-40B4-BE49-F238E27FC236}">
                  <a16:creationId xmlns:a16="http://schemas.microsoft.com/office/drawing/2014/main" id="{E9191FB6-220C-6BF9-272D-50B72EDA7C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447922" y="5874747"/>
              <a:ext cx="579378" cy="579378"/>
            </a:xfrm>
            <a:prstGeom prst="rect">
              <a:avLst/>
            </a:prstGeom>
          </xdr:spPr>
        </xdr:pic>
        <xdr:grpSp>
          <xdr:nvGrpSpPr>
            <xdr:cNvPr id="236" name="Group 235">
              <a:extLst>
                <a:ext uri="{FF2B5EF4-FFF2-40B4-BE49-F238E27FC236}">
                  <a16:creationId xmlns:a16="http://schemas.microsoft.com/office/drawing/2014/main" id="{E4D74658-ACCA-1799-9A8D-40DF3DA1DF76}"/>
                </a:ext>
              </a:extLst>
            </xdr:cNvPr>
            <xdr:cNvGrpSpPr/>
          </xdr:nvGrpSpPr>
          <xdr:grpSpPr>
            <a:xfrm>
              <a:off x="2546586" y="5973410"/>
              <a:ext cx="382051" cy="382051"/>
              <a:chOff x="0" y="0"/>
              <a:chExt cx="812800" cy="812800"/>
            </a:xfrm>
          </xdr:grpSpPr>
          <xdr:sp macro="" textlink="">
            <xdr:nvSpPr>
              <xdr:cNvPr id="254" name="Freeform 79">
                <a:extLst>
                  <a:ext uri="{FF2B5EF4-FFF2-40B4-BE49-F238E27FC236}">
                    <a16:creationId xmlns:a16="http://schemas.microsoft.com/office/drawing/2014/main" id="{8EDC9EF5-23B7-8D16-48BC-C07009AE7DC4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5" name="TextBox 80">
                <a:extLst>
                  <a:ext uri="{FF2B5EF4-FFF2-40B4-BE49-F238E27FC236}">
                    <a16:creationId xmlns:a16="http://schemas.microsoft.com/office/drawing/2014/main" id="{7611EC4A-CDC3-8CEB-DFC9-2922065AF360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7" name="Freeform 81">
              <a:extLst>
                <a:ext uri="{FF2B5EF4-FFF2-40B4-BE49-F238E27FC236}">
                  <a16:creationId xmlns:a16="http://schemas.microsoft.com/office/drawing/2014/main" id="{FC9BD3C8-5F27-5FE3-BF16-733E1A85D387}"/>
                </a:ext>
              </a:extLst>
            </xdr:cNvPr>
            <xdr:cNvSpPr/>
          </xdr:nvSpPr>
          <xdr:spPr>
            <a:xfrm>
              <a:off x="2655641" y="3911370"/>
              <a:ext cx="168433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0">
                <a:extLst>
                  <a:ext uri="{96DAC541-7B7A-43D3-8B79-37D633B846F1}">
                    <asvg:svgBlip xmlns:asvg="http://schemas.microsoft.com/office/drawing/2016/SVG/main" r:embed="rId21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8" name="Freeform 82">
              <a:extLst>
                <a:ext uri="{FF2B5EF4-FFF2-40B4-BE49-F238E27FC236}">
                  <a16:creationId xmlns:a16="http://schemas.microsoft.com/office/drawing/2014/main" id="{E644EC06-9276-D34B-4F98-48DF610970E9}"/>
                </a:ext>
              </a:extLst>
            </xdr:cNvPr>
            <xdr:cNvSpPr/>
          </xdr:nvSpPr>
          <xdr:spPr>
            <a:xfrm>
              <a:off x="2630749" y="4629753"/>
              <a:ext cx="218217" cy="221189"/>
            </a:xfrm>
            <a:custGeom>
              <a:avLst/>
              <a:gdLst/>
              <a:ahLst/>
              <a:cxnLst/>
              <a:rect l="l" t="t" r="r" b="b"/>
              <a:pathLst>
                <a:path w="218217" h="221189">
                  <a:moveTo>
                    <a:pt x="0" y="0"/>
                  </a:moveTo>
                  <a:lnTo>
                    <a:pt x="218216" y="0"/>
                  </a:lnTo>
                  <a:lnTo>
                    <a:pt x="218216" y="221189"/>
                  </a:lnTo>
                  <a:lnTo>
                    <a:pt x="0" y="221189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2">
                <a:extLs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9" name="Freeform 83">
              <a:extLst>
                <a:ext uri="{FF2B5EF4-FFF2-40B4-BE49-F238E27FC236}">
                  <a16:creationId xmlns:a16="http://schemas.microsoft.com/office/drawing/2014/main" id="{DE4DDC0F-D349-04A6-0335-04CB1A77FEB3}"/>
                </a:ext>
              </a:extLst>
            </xdr:cNvPr>
            <xdr:cNvSpPr/>
          </xdr:nvSpPr>
          <xdr:spPr>
            <a:xfrm>
              <a:off x="2630749" y="6046853"/>
              <a:ext cx="241655" cy="225646"/>
            </a:xfrm>
            <a:custGeom>
              <a:avLst/>
              <a:gdLst/>
              <a:ahLst/>
              <a:cxnLst/>
              <a:rect l="l" t="t" r="r" b="b"/>
              <a:pathLst>
                <a:path w="241655" h="225646">
                  <a:moveTo>
                    <a:pt x="0" y="0"/>
                  </a:moveTo>
                  <a:lnTo>
                    <a:pt x="241655" y="0"/>
                  </a:lnTo>
                  <a:lnTo>
                    <a:pt x="241655" y="225645"/>
                  </a:lnTo>
                  <a:lnTo>
                    <a:pt x="0" y="225645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4"/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0" name="Freeform 84">
              <a:extLst>
                <a:ext uri="{FF2B5EF4-FFF2-40B4-BE49-F238E27FC236}">
                  <a16:creationId xmlns:a16="http://schemas.microsoft.com/office/drawing/2014/main" id="{010A2BDC-57EF-8A38-61B4-BB1A87C8A8AF}"/>
                </a:ext>
              </a:extLst>
            </xdr:cNvPr>
            <xdr:cNvSpPr/>
          </xdr:nvSpPr>
          <xdr:spPr>
            <a:xfrm>
              <a:off x="2613245" y="5319673"/>
              <a:ext cx="253224" cy="253224"/>
            </a:xfrm>
            <a:custGeom>
              <a:avLst/>
              <a:gdLst/>
              <a:ahLst/>
              <a:cxnLst/>
              <a:rect l="l" t="t" r="r" b="b"/>
              <a:pathLst>
                <a:path w="253224" h="253224">
                  <a:moveTo>
                    <a:pt x="0" y="0"/>
                  </a:moveTo>
                  <a:lnTo>
                    <a:pt x="253224" y="0"/>
                  </a:lnTo>
                  <a:lnTo>
                    <a:pt x="253224" y="253224"/>
                  </a:lnTo>
                  <a:lnTo>
                    <a:pt x="0" y="253224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5">
                <a:extLst>
                  <a:ext uri="{96DAC541-7B7A-43D3-8B79-37D633B846F1}">
                    <asvg:svgBlip xmlns:asvg="http://schemas.microsoft.com/office/drawing/2016/SVG/main" r:embed="rId26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1" name="TextBox 87">
              <a:extLst>
                <a:ext uri="{FF2B5EF4-FFF2-40B4-BE49-F238E27FC236}">
                  <a16:creationId xmlns:a16="http://schemas.microsoft.com/office/drawing/2014/main" id="{DF118164-70F8-F925-8BB6-494C67D818E4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Summary Chart</a:t>
              </a:r>
            </a:p>
          </xdr:txBody>
        </xdr:sp>
        <xdr:sp macro="" textlink="">
          <xdr:nvSpPr>
            <xdr:cNvPr id="242" name="TextBox 103">
              <a:extLst>
                <a:ext uri="{FF2B5EF4-FFF2-40B4-BE49-F238E27FC236}">
                  <a16:creationId xmlns:a16="http://schemas.microsoft.com/office/drawing/2014/main" id="{DBB20138-4FBC-257F-C5B4-F9137AE4C254}"/>
                </a:ext>
              </a:extLst>
            </xdr:cNvPr>
            <xdr:cNvSpPr txBox="1"/>
          </xdr:nvSpPr>
          <xdr:spPr>
            <a:xfrm>
              <a:off x="3116860" y="3747823"/>
              <a:ext cx="2474627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Trips Made</a:t>
              </a:r>
            </a:p>
          </xdr:txBody>
        </xdr:sp>
        <xdr:sp macro="" textlink="">
          <xdr:nvSpPr>
            <xdr:cNvPr id="243" name="TextBox 104">
              <a:extLst>
                <a:ext uri="{FF2B5EF4-FFF2-40B4-BE49-F238E27FC236}">
                  <a16:creationId xmlns:a16="http://schemas.microsoft.com/office/drawing/2014/main" id="{61DFE0AD-A31A-BA6F-4097-BAE8F6168775}"/>
                </a:ext>
              </a:extLst>
            </xdr:cNvPr>
            <xdr:cNvSpPr txBox="1"/>
          </xdr:nvSpPr>
          <xdr:spPr>
            <a:xfrm>
              <a:off x="3116860" y="406113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3,130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trips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3,074 </a:t>
              </a:r>
              <a:r>
                <a:rPr lang="en-US" sz="1200" b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trips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 </a:t>
              </a:r>
            </a:p>
          </xdr:txBody>
        </xdr:sp>
        <xdr:sp macro="" textlink="">
          <xdr:nvSpPr>
            <xdr:cNvPr id="244" name="TextBox 105">
              <a:extLst>
                <a:ext uri="{FF2B5EF4-FFF2-40B4-BE49-F238E27FC236}">
                  <a16:creationId xmlns:a16="http://schemas.microsoft.com/office/drawing/2014/main" id="{A24255DA-DE62-41B9-730E-0D3F3B6D9811}"/>
                </a:ext>
              </a:extLst>
            </xdr:cNvPr>
            <xdr:cNvSpPr txBox="1"/>
          </xdr:nvSpPr>
          <xdr:spPr>
            <a:xfrm>
              <a:off x="5487243" y="4061130"/>
              <a:ext cx="972491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- 56 trips</a:t>
              </a:r>
            </a:p>
          </xdr:txBody>
        </xdr:sp>
        <xdr:sp macro="" textlink="">
          <xdr:nvSpPr>
            <xdr:cNvPr id="245" name="TextBox 106">
              <a:extLst>
                <a:ext uri="{FF2B5EF4-FFF2-40B4-BE49-F238E27FC236}">
                  <a16:creationId xmlns:a16="http://schemas.microsoft.com/office/drawing/2014/main" id="{DC95C87C-A59D-1A5C-4FAB-B9A01A38E0E0}"/>
                </a:ext>
              </a:extLst>
            </xdr:cNvPr>
            <xdr:cNvSpPr txBox="1"/>
          </xdr:nvSpPr>
          <xdr:spPr>
            <a:xfrm>
              <a:off x="3115034" y="4460421"/>
              <a:ext cx="2067930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Hours Operated</a:t>
              </a:r>
            </a:p>
          </xdr:txBody>
        </xdr:sp>
        <xdr:sp macro="" textlink="">
          <xdr:nvSpPr>
            <xdr:cNvPr id="246" name="TextBox 107">
              <a:extLst>
                <a:ext uri="{FF2B5EF4-FFF2-40B4-BE49-F238E27FC236}">
                  <a16:creationId xmlns:a16="http://schemas.microsoft.com/office/drawing/2014/main" id="{F6B4BF1C-8B7A-AFB8-7307-978A3D931E2C}"/>
                </a:ext>
              </a:extLst>
            </xdr:cNvPr>
            <xdr:cNvSpPr txBox="1"/>
          </xdr:nvSpPr>
          <xdr:spPr>
            <a:xfrm>
              <a:off x="3115034" y="4774566"/>
              <a:ext cx="2773626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2,902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to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2,895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</a:t>
              </a:r>
            </a:p>
          </xdr:txBody>
        </xdr:sp>
        <xdr:sp macro="" textlink="">
          <xdr:nvSpPr>
            <xdr:cNvPr id="247" name="TextBox 108">
              <a:extLst>
                <a:ext uri="{FF2B5EF4-FFF2-40B4-BE49-F238E27FC236}">
                  <a16:creationId xmlns:a16="http://schemas.microsoft.com/office/drawing/2014/main" id="{44331318-3077-923B-DA2F-DABC6C8B61B6}"/>
                </a:ext>
              </a:extLst>
            </xdr:cNvPr>
            <xdr:cNvSpPr txBox="1"/>
          </xdr:nvSpPr>
          <xdr:spPr>
            <a:xfrm>
              <a:off x="5363711" y="4774566"/>
              <a:ext cx="1094199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-7 hours </a:t>
              </a:r>
            </a:p>
          </xdr:txBody>
        </xdr:sp>
        <xdr:sp macro="" textlink="">
          <xdr:nvSpPr>
            <xdr:cNvPr id="248" name="TextBox 109">
              <a:extLst>
                <a:ext uri="{FF2B5EF4-FFF2-40B4-BE49-F238E27FC236}">
                  <a16:creationId xmlns:a16="http://schemas.microsoft.com/office/drawing/2014/main" id="{277D56E6-EECA-3EDF-C929-0F6C4F7E427D}"/>
                </a:ext>
              </a:extLst>
            </xdr:cNvPr>
            <xdr:cNvSpPr txBox="1"/>
          </xdr:nvSpPr>
          <xdr:spPr>
            <a:xfrm>
              <a:off x="3116860" y="5172674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Operators</a:t>
              </a:r>
            </a:p>
          </xdr:txBody>
        </xdr:sp>
        <xdr:sp macro="" textlink="">
          <xdr:nvSpPr>
            <xdr:cNvPr id="249" name="TextBox 110">
              <a:extLst>
                <a:ext uri="{FF2B5EF4-FFF2-40B4-BE49-F238E27FC236}">
                  <a16:creationId xmlns:a16="http://schemas.microsoft.com/office/drawing/2014/main" id="{AB04C346-68B8-4C19-FB19-3E139F16834F}"/>
                </a:ext>
              </a:extLst>
            </xdr:cNvPr>
            <xdr:cNvSpPr txBox="1"/>
          </xdr:nvSpPr>
          <xdr:spPr>
            <a:xfrm>
              <a:off x="3116860" y="548682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</a:t>
              </a:r>
            </a:p>
          </xdr:txBody>
        </xdr:sp>
        <xdr:sp macro="" textlink="">
          <xdr:nvSpPr>
            <xdr:cNvPr id="250" name="TextBox 111">
              <a:extLst>
                <a:ext uri="{FF2B5EF4-FFF2-40B4-BE49-F238E27FC236}">
                  <a16:creationId xmlns:a16="http://schemas.microsoft.com/office/drawing/2014/main" id="{4F618AF2-FF8A-7DC8-C0FC-9B6CD55D7DCC}"/>
                </a:ext>
              </a:extLst>
            </xdr:cNvPr>
            <xdr:cNvSpPr txBox="1"/>
          </xdr:nvSpPr>
          <xdr:spPr>
            <a:xfrm>
              <a:off x="5841370" y="5486820"/>
              <a:ext cx="618366" cy="24429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8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---</a:t>
              </a:r>
            </a:p>
          </xdr:txBody>
        </xdr:sp>
        <xdr:sp macro="" textlink="">
          <xdr:nvSpPr>
            <xdr:cNvPr id="251" name="TextBox 119">
              <a:extLst>
                <a:ext uri="{FF2B5EF4-FFF2-40B4-BE49-F238E27FC236}">
                  <a16:creationId xmlns:a16="http://schemas.microsoft.com/office/drawing/2014/main" id="{BE1FC55E-5993-322C-6D7E-CC9426F02574}"/>
                </a:ext>
              </a:extLst>
            </xdr:cNvPr>
            <xdr:cNvSpPr txBox="1"/>
          </xdr:nvSpPr>
          <xdr:spPr>
            <a:xfrm>
              <a:off x="3115034" y="5879749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Days Worked</a:t>
              </a:r>
            </a:p>
          </xdr:txBody>
        </xdr:sp>
        <xdr:sp macro="" textlink="">
          <xdr:nvSpPr>
            <xdr:cNvPr id="252" name="TextBox 120">
              <a:extLst>
                <a:ext uri="{FF2B5EF4-FFF2-40B4-BE49-F238E27FC236}">
                  <a16:creationId xmlns:a16="http://schemas.microsoft.com/office/drawing/2014/main" id="{98D0089E-06E1-8598-63D1-27B7676A81FD}"/>
                </a:ext>
              </a:extLst>
            </xdr:cNvPr>
            <xdr:cNvSpPr txBox="1"/>
          </xdr:nvSpPr>
          <xdr:spPr>
            <a:xfrm>
              <a:off x="3115034" y="6193894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</a:t>
              </a:r>
            </a:p>
          </xdr:txBody>
        </xdr:sp>
        <xdr:sp macro="" textlink="">
          <xdr:nvSpPr>
            <xdr:cNvPr id="253" name="TextBox 121">
              <a:extLst>
                <a:ext uri="{FF2B5EF4-FFF2-40B4-BE49-F238E27FC236}">
                  <a16:creationId xmlns:a16="http://schemas.microsoft.com/office/drawing/2014/main" id="{53EF4043-57F1-DCD1-5A8D-2A87C3390BB4}"/>
                </a:ext>
              </a:extLst>
            </xdr:cNvPr>
            <xdr:cNvSpPr txBox="1"/>
          </xdr:nvSpPr>
          <xdr:spPr>
            <a:xfrm>
              <a:off x="5951769" y="6193894"/>
              <a:ext cx="506140" cy="24429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8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---</a:t>
              </a:r>
            </a:p>
          </xdr:txBody>
        </xdr:sp>
      </xdr:grpSp>
      <xdr:sp macro="" textlink="">
        <xdr:nvSpPr>
          <xdr:cNvPr id="225" name="Freeform 35">
            <a:extLst>
              <a:ext uri="{FF2B5EF4-FFF2-40B4-BE49-F238E27FC236}">
                <a16:creationId xmlns:a16="http://schemas.microsoft.com/office/drawing/2014/main" id="{AF7336DC-D488-2982-B5FB-95695C088E72}"/>
              </a:ext>
            </a:extLst>
          </xdr:cNvPr>
          <xdr:cNvSpPr/>
        </xdr:nvSpPr>
        <xdr:spPr>
          <a:xfrm>
            <a:off x="6181725" y="4457105"/>
            <a:ext cx="239576" cy="143745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410583</xdr:colOff>
      <xdr:row>17</xdr:row>
      <xdr:rowOff>140996</xdr:rowOff>
    </xdr:from>
    <xdr:to>
      <xdr:col>13</xdr:col>
      <xdr:colOff>380594</xdr:colOff>
      <xdr:row>20</xdr:row>
      <xdr:rowOff>148874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1CE799E0-2148-4ECD-38F0-F1E2FC4A89CA}"/>
            </a:ext>
          </a:extLst>
        </xdr:cNvPr>
        <xdr:cNvGrpSpPr/>
      </xdr:nvGrpSpPr>
      <xdr:grpSpPr>
        <a:xfrm>
          <a:off x="7671995" y="3379496"/>
          <a:ext cx="575128" cy="579378"/>
          <a:chOff x="7736174" y="4061491"/>
          <a:chExt cx="580477" cy="579378"/>
        </a:xfrm>
      </xdr:grpSpPr>
      <xdr:pic>
        <xdr:nvPicPr>
          <xdr:cNvPr id="72" name="Picture 71">
            <a:extLst>
              <a:ext uri="{FF2B5EF4-FFF2-40B4-BE49-F238E27FC236}">
                <a16:creationId xmlns:a16="http://schemas.microsoft.com/office/drawing/2014/main" id="{420500FF-ABEE-90BE-93CA-C15C7B47FE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7736174" y="4061491"/>
            <a:ext cx="580477" cy="579378"/>
          </a:xfrm>
          <a:prstGeom prst="rect">
            <a:avLst/>
          </a:prstGeom>
        </xdr:spPr>
      </xdr:pic>
      <xdr:sp macro="" textlink="">
        <xdr:nvSpPr>
          <xdr:cNvPr id="109" name="Freeform 33">
            <a:extLst>
              <a:ext uri="{FF2B5EF4-FFF2-40B4-BE49-F238E27FC236}">
                <a16:creationId xmlns:a16="http://schemas.microsoft.com/office/drawing/2014/main" id="{5FF5F05C-72F5-345D-E410-3EBEE6435617}"/>
              </a:ext>
            </a:extLst>
          </xdr:cNvPr>
          <xdr:cNvSpPr/>
        </xdr:nvSpPr>
        <xdr:spPr>
          <a:xfrm>
            <a:off x="7835025" y="4160155"/>
            <a:ext cx="382776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266" name="Freeform 84">
            <a:extLst>
              <a:ext uri="{FF2B5EF4-FFF2-40B4-BE49-F238E27FC236}">
                <a16:creationId xmlns:a16="http://schemas.microsoft.com/office/drawing/2014/main" id="{5396070C-198C-4BEA-AF00-CB59ACA62E89}"/>
              </a:ext>
            </a:extLst>
          </xdr:cNvPr>
          <xdr:cNvSpPr/>
        </xdr:nvSpPr>
        <xdr:spPr>
          <a:xfrm>
            <a:off x="7894997" y="4226460"/>
            <a:ext cx="256746" cy="253224"/>
          </a:xfrm>
          <a:custGeom>
            <a:avLst/>
            <a:gdLst/>
            <a:ahLst/>
            <a:cxnLst/>
            <a:rect l="l" t="t" r="r" b="b"/>
            <a:pathLst>
              <a:path w="253224" h="253224">
                <a:moveTo>
                  <a:pt x="0" y="0"/>
                </a:moveTo>
                <a:lnTo>
                  <a:pt x="253224" y="0"/>
                </a:lnTo>
                <a:lnTo>
                  <a:pt x="253224" y="253224"/>
                </a:lnTo>
                <a:lnTo>
                  <a:pt x="0" y="253224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25">
              <a:extLst>
                <a:ext uri="{96DAC541-7B7A-43D3-8B79-37D633B846F1}">
                  <asvg:svgBlip xmlns:asvg="http://schemas.microsoft.com/office/drawing/2016/SVG/main" r:embed="rId26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28</xdr:col>
      <xdr:colOff>329568</xdr:colOff>
      <xdr:row>3</xdr:row>
      <xdr:rowOff>101684</xdr:rowOff>
    </xdr:from>
    <xdr:to>
      <xdr:col>36</xdr:col>
      <xdr:colOff>82528</xdr:colOff>
      <xdr:row>39</xdr:row>
      <xdr:rowOff>101684</xdr:rowOff>
    </xdr:to>
    <xdr:grpSp>
      <xdr:nvGrpSpPr>
        <xdr:cNvPr id="269" name="Group 268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55A458D-C2F3-D530-D37A-A59DF4A344CF}"/>
            </a:ext>
          </a:extLst>
        </xdr:cNvPr>
        <xdr:cNvGrpSpPr/>
      </xdr:nvGrpSpPr>
      <xdr:grpSpPr>
        <a:xfrm>
          <a:off x="17272862" y="673184"/>
          <a:ext cx="4593901" cy="6858000"/>
          <a:chOff x="2162175" y="2771180"/>
          <a:chExt cx="4629763" cy="4276053"/>
        </a:xfrm>
      </xdr:grpSpPr>
      <xdr:grpSp>
        <xdr:nvGrpSpPr>
          <xdr:cNvPr id="271" name="Group 270">
            <a:extLst>
              <a:ext uri="{FF2B5EF4-FFF2-40B4-BE49-F238E27FC236}">
                <a16:creationId xmlns:a16="http://schemas.microsoft.com/office/drawing/2014/main" id="{ED781CD3-F743-B7D5-660D-1F5B7B0ACDC3}"/>
              </a:ext>
            </a:extLst>
          </xdr:cNvPr>
          <xdr:cNvGrpSpPr/>
        </xdr:nvGrpSpPr>
        <xdr:grpSpPr>
          <a:xfrm>
            <a:off x="2162175" y="2771180"/>
            <a:ext cx="4629763" cy="4276053"/>
            <a:chOff x="0" y="-47625"/>
            <a:chExt cx="1646138" cy="1520374"/>
          </a:xfrm>
        </xdr:grpSpPr>
        <xdr:sp macro="" textlink="">
          <xdr:nvSpPr>
            <xdr:cNvPr id="278" name="Freeform 29">
              <a:hlinkClick xmlns:r="http://schemas.openxmlformats.org/officeDocument/2006/relationships" r:id="rId27"/>
              <a:extLst>
                <a:ext uri="{FF2B5EF4-FFF2-40B4-BE49-F238E27FC236}">
                  <a16:creationId xmlns:a16="http://schemas.microsoft.com/office/drawing/2014/main" id="{1B84380C-BCE1-3A81-C586-A40E16FCD9B7}"/>
                </a:ext>
              </a:extLst>
            </xdr:cNvPr>
            <xdr:cNvSpPr/>
          </xdr:nvSpPr>
          <xdr:spPr>
            <a:xfrm>
              <a:off x="0" y="0"/>
              <a:ext cx="1646138" cy="1368213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79" name="TextBox 30">
              <a:extLst>
                <a:ext uri="{FF2B5EF4-FFF2-40B4-BE49-F238E27FC236}">
                  <a16:creationId xmlns:a16="http://schemas.microsoft.com/office/drawing/2014/main" id="{6EE27358-FD34-5556-BB44-2DE060C0E133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272" name="TextBox 34">
            <a:extLst>
              <a:ext uri="{FF2B5EF4-FFF2-40B4-BE49-F238E27FC236}">
                <a16:creationId xmlns:a16="http://schemas.microsoft.com/office/drawing/2014/main" id="{184F0D18-0D43-D5FE-CB06-0B2CA02BC112}"/>
              </a:ext>
            </a:extLst>
          </xdr:cNvPr>
          <xdr:cNvSpPr txBox="1"/>
        </xdr:nvSpPr>
        <xdr:spPr>
          <a:xfrm>
            <a:off x="2584229" y="3849736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3" name="TextBox 39">
            <a:extLst>
              <a:ext uri="{FF2B5EF4-FFF2-40B4-BE49-F238E27FC236}">
                <a16:creationId xmlns:a16="http://schemas.microsoft.com/office/drawing/2014/main" id="{7176F753-D267-B069-C778-59A61A3D2235}"/>
              </a:ext>
            </a:extLst>
          </xdr:cNvPr>
          <xdr:cNvSpPr txBox="1"/>
        </xdr:nvSpPr>
        <xdr:spPr>
          <a:xfrm>
            <a:off x="2582553" y="4562445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4" name="TextBox 44">
            <a:extLst>
              <a:ext uri="{FF2B5EF4-FFF2-40B4-BE49-F238E27FC236}">
                <a16:creationId xmlns:a16="http://schemas.microsoft.com/office/drawing/2014/main" id="{7D4735D0-A839-472E-DA9B-8F2BC16D0B38}"/>
              </a:ext>
            </a:extLst>
          </xdr:cNvPr>
          <xdr:cNvSpPr txBox="1"/>
        </xdr:nvSpPr>
        <xdr:spPr>
          <a:xfrm>
            <a:off x="2584379" y="5274699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5" name="Freeform 46">
            <a:extLst>
              <a:ext uri="{FF2B5EF4-FFF2-40B4-BE49-F238E27FC236}">
                <a16:creationId xmlns:a16="http://schemas.microsoft.com/office/drawing/2014/main" id="{E5D17963-D340-667F-1B4C-76E92A2BBC2D}"/>
              </a:ext>
            </a:extLst>
          </xdr:cNvPr>
          <xdr:cNvSpPr/>
        </xdr:nvSpPr>
        <xdr:spPr>
          <a:xfrm>
            <a:off x="6359839" y="3113706"/>
            <a:ext cx="9989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276" name="TextBox 80">
            <a:extLst>
              <a:ext uri="{FF2B5EF4-FFF2-40B4-BE49-F238E27FC236}">
                <a16:creationId xmlns:a16="http://schemas.microsoft.com/office/drawing/2014/main" id="{7299AD51-8FBF-9E50-9557-CD6FDA0D13A5}"/>
              </a:ext>
            </a:extLst>
          </xdr:cNvPr>
          <xdr:cNvSpPr txBox="1"/>
        </xdr:nvSpPr>
        <xdr:spPr>
          <a:xfrm>
            <a:off x="2582403" y="5986841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7" name="TextBox 87">
            <a:extLst>
              <a:ext uri="{FF2B5EF4-FFF2-40B4-BE49-F238E27FC236}">
                <a16:creationId xmlns:a16="http://schemas.microsoft.com/office/drawing/2014/main" id="{6956F258-CE1C-8304-76F8-6DC785B1092F}"/>
              </a:ext>
            </a:extLst>
          </xdr:cNvPr>
          <xdr:cNvSpPr txBox="1"/>
        </xdr:nvSpPr>
        <xdr:spPr>
          <a:xfrm>
            <a:off x="3179749" y="3150489"/>
            <a:ext cx="1716821" cy="159919"/>
          </a:xfrm>
          <a:prstGeom prst="rect">
            <a:avLst/>
          </a:prstGeom>
        </xdr:spPr>
        <xdr:txBody>
          <a:bodyPr wrap="square" lIns="0" tIns="0" rIns="0" bIns="0" rtlCol="0" anchor="t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960"/>
              </a:lnSpc>
            </a:pPr>
            <a:r>
              <a:rPr lang="en-US" sz="14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Hours</a:t>
            </a:r>
            <a:r>
              <a:rPr lang="en-US" sz="1400" b="1" baseline="0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 Operated</a:t>
            </a:r>
            <a:endPara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endParaRPr>
          </a:p>
        </xdr:txBody>
      </xdr:sp>
    </xdr:grpSp>
    <xdr:clientData/>
  </xdr:twoCellAnchor>
  <xdr:twoCellAnchor>
    <xdr:from>
      <xdr:col>13</xdr:col>
      <xdr:colOff>122464</xdr:colOff>
      <xdr:row>21</xdr:row>
      <xdr:rowOff>132755</xdr:rowOff>
    </xdr:from>
    <xdr:to>
      <xdr:col>18</xdr:col>
      <xdr:colOff>552450</xdr:colOff>
      <xdr:row>24</xdr:row>
      <xdr:rowOff>95250</xdr:rowOff>
    </xdr:to>
    <xdr:sp macro="" textlink="">
      <xdr:nvSpPr>
        <xdr:cNvPr id="159" name="TextBox 103">
          <a:extLst>
            <a:ext uri="{FF2B5EF4-FFF2-40B4-BE49-F238E27FC236}">
              <a16:creationId xmlns:a16="http://schemas.microsoft.com/office/drawing/2014/main" id="{D788C7AD-28B5-4FE5-A1B0-D0498DEB92B8}"/>
            </a:ext>
          </a:extLst>
        </xdr:cNvPr>
        <xdr:cNvSpPr txBox="1"/>
      </xdr:nvSpPr>
      <xdr:spPr>
        <a:xfrm>
          <a:off x="8047264" y="4133255"/>
          <a:ext cx="3477986" cy="533995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EXPRESS TRANSPORTATION SERVICES, LLC</a:t>
          </a:r>
        </a:p>
      </xdr:txBody>
    </xdr:sp>
    <xdr:clientData/>
  </xdr:twoCellAnchor>
  <xdr:twoCellAnchor>
    <xdr:from>
      <xdr:col>13</xdr:col>
      <xdr:colOff>370942</xdr:colOff>
      <xdr:row>25</xdr:row>
      <xdr:rowOff>8930</xdr:rowOff>
    </xdr:from>
    <xdr:to>
      <xdr:col>17</xdr:col>
      <xdr:colOff>66261</xdr:colOff>
      <xdr:row>26</xdr:row>
      <xdr:rowOff>41408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6194F19-E147-CE43-E4E0-8305362A5183}"/>
            </a:ext>
          </a:extLst>
        </xdr:cNvPr>
        <xdr:cNvGrpSpPr/>
      </xdr:nvGrpSpPr>
      <xdr:grpSpPr>
        <a:xfrm>
          <a:off x="8237471" y="4771430"/>
          <a:ext cx="2115790" cy="222978"/>
          <a:chOff x="8338812" y="4730017"/>
          <a:chExt cx="2146971" cy="222978"/>
        </a:xfrm>
      </xdr:grpSpPr>
      <xdr:sp macro="" textlink="">
        <xdr:nvSpPr>
          <xdr:cNvPr id="160" name="TextBox 107">
            <a:extLst>
              <a:ext uri="{FF2B5EF4-FFF2-40B4-BE49-F238E27FC236}">
                <a16:creationId xmlns:a16="http://schemas.microsoft.com/office/drawing/2014/main" id="{58D6ADA0-2B6A-46A2-8DDB-030C03935B59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BANKS, LENARD </a:t>
            </a:r>
          </a:p>
        </xdr:txBody>
      </xdr:sp>
      <xdr:sp macro="" textlink="">
        <xdr:nvSpPr>
          <xdr:cNvPr id="161" name="TextBox 107">
            <a:extLst>
              <a:ext uri="{FF2B5EF4-FFF2-40B4-BE49-F238E27FC236}">
                <a16:creationId xmlns:a16="http://schemas.microsoft.com/office/drawing/2014/main" id="{0F01D9E8-68AF-4D02-8EF9-4EE818E6514B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  <xdr:twoCellAnchor>
    <xdr:from>
      <xdr:col>13</xdr:col>
      <xdr:colOff>365973</xdr:colOff>
      <xdr:row>26</xdr:row>
      <xdr:rowOff>153048</xdr:rowOff>
    </xdr:from>
    <xdr:to>
      <xdr:col>17</xdr:col>
      <xdr:colOff>216777</xdr:colOff>
      <xdr:row>27</xdr:row>
      <xdr:rowOff>185526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9B85B06A-4724-41D9-A15F-41A1A4B9095A}"/>
            </a:ext>
          </a:extLst>
        </xdr:cNvPr>
        <xdr:cNvGrpSpPr/>
      </xdr:nvGrpSpPr>
      <xdr:grpSpPr>
        <a:xfrm>
          <a:off x="8232502" y="5106048"/>
          <a:ext cx="2271275" cy="222978"/>
          <a:chOff x="8338812" y="4730017"/>
          <a:chExt cx="2303037" cy="222978"/>
        </a:xfrm>
      </xdr:grpSpPr>
      <xdr:sp macro="" textlink="">
        <xdr:nvSpPr>
          <xdr:cNvPr id="163" name="TextBox 107">
            <a:extLst>
              <a:ext uri="{FF2B5EF4-FFF2-40B4-BE49-F238E27FC236}">
                <a16:creationId xmlns:a16="http://schemas.microsoft.com/office/drawing/2014/main" id="{D1DA41EB-C910-1206-4456-E218D3F31089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ts val="1679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38B6FF"/>
                </a:solidFill>
                <a:effectLst/>
                <a:uLnTx/>
                <a:uFillTx/>
                <a:latin typeface="Poppins"/>
                <a:ea typeface="Poppins"/>
                <a:cs typeface="Poppins"/>
                <a:sym typeface="Poppins"/>
              </a:rPr>
              <a:t>GIBBS, SAMUEL</a:t>
            </a:r>
          </a:p>
        </xdr:txBody>
      </xdr:sp>
      <xdr:sp macro="" textlink="">
        <xdr:nvSpPr>
          <xdr:cNvPr id="164" name="TextBox 107">
            <a:extLst>
              <a:ext uri="{FF2B5EF4-FFF2-40B4-BE49-F238E27FC236}">
                <a16:creationId xmlns:a16="http://schemas.microsoft.com/office/drawing/2014/main" id="{F5B0316B-CA98-9532-40D8-D51AC0706F8F}"/>
              </a:ext>
            </a:extLst>
          </xdr:cNvPr>
          <xdr:cNvSpPr txBox="1"/>
        </xdr:nvSpPr>
        <xdr:spPr>
          <a:xfrm>
            <a:off x="9849560" y="4730017"/>
            <a:ext cx="792289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FF0000"/>
                </a:solidFill>
                <a:latin typeface="Poppins"/>
                <a:ea typeface="Poppins"/>
                <a:cs typeface="Poppins"/>
                <a:sym typeface="Poppins"/>
              </a:rPr>
              <a:t>Removed</a:t>
            </a:r>
          </a:p>
        </xdr:txBody>
      </xdr:sp>
    </xdr:grpSp>
    <xdr:clientData/>
  </xdr:twoCellAnchor>
  <xdr:twoCellAnchor>
    <xdr:from>
      <xdr:col>20</xdr:col>
      <xdr:colOff>84827</xdr:colOff>
      <xdr:row>3</xdr:row>
      <xdr:rowOff>97943</xdr:rowOff>
    </xdr:from>
    <xdr:to>
      <xdr:col>27</xdr:col>
      <xdr:colOff>443925</xdr:colOff>
      <xdr:row>39</xdr:row>
      <xdr:rowOff>97943</xdr:rowOff>
    </xdr:to>
    <xdr:grpSp>
      <xdr:nvGrpSpPr>
        <xdr:cNvPr id="14" name="Group 13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6B010FBC-8773-81DE-8506-6F976DDDA960}"/>
            </a:ext>
          </a:extLst>
        </xdr:cNvPr>
        <xdr:cNvGrpSpPr/>
      </xdr:nvGrpSpPr>
      <xdr:grpSpPr>
        <a:xfrm>
          <a:off x="12187180" y="669443"/>
          <a:ext cx="4594921" cy="6858000"/>
          <a:chOff x="12398054" y="686761"/>
          <a:chExt cx="4602053" cy="6858000"/>
        </a:xfrm>
      </xdr:grpSpPr>
      <xdr:grpSp>
        <xdr:nvGrpSpPr>
          <xdr:cNvPr id="177" name="Group 176">
            <a:extLst>
              <a:ext uri="{FF2B5EF4-FFF2-40B4-BE49-F238E27FC236}">
                <a16:creationId xmlns:a16="http://schemas.microsoft.com/office/drawing/2014/main" id="{9FEAD576-C7E9-512D-72EE-375CCAD0F5D8}"/>
              </a:ext>
            </a:extLst>
          </xdr:cNvPr>
          <xdr:cNvGrpSpPr/>
        </xdr:nvGrpSpPr>
        <xdr:grpSpPr>
          <a:xfrm>
            <a:off x="12398054" y="686761"/>
            <a:ext cx="4602053" cy="6858000"/>
            <a:chOff x="2162175" y="2771180"/>
            <a:chExt cx="4629763" cy="4276053"/>
          </a:xfrm>
        </xdr:grpSpPr>
        <xdr:grpSp>
          <xdr:nvGrpSpPr>
            <xdr:cNvPr id="179" name="Group 178">
              <a:extLst>
                <a:ext uri="{FF2B5EF4-FFF2-40B4-BE49-F238E27FC236}">
                  <a16:creationId xmlns:a16="http://schemas.microsoft.com/office/drawing/2014/main" id="{F3F91581-DA91-7243-4ACF-0695B21D2936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15" name="Freeform 29">
                <a:hlinkClick xmlns:r="http://schemas.openxmlformats.org/officeDocument/2006/relationships" r:id="rId28"/>
                <a:extLst>
                  <a:ext uri="{FF2B5EF4-FFF2-40B4-BE49-F238E27FC236}">
                    <a16:creationId xmlns:a16="http://schemas.microsoft.com/office/drawing/2014/main" id="{088C0128-88E4-1450-5B50-27439F8FE2E0}"/>
                  </a:ext>
                </a:extLst>
              </xdr:cNvPr>
              <xdr:cNvSpPr/>
            </xdr:nvSpPr>
            <xdr:spPr>
              <a:xfrm>
                <a:off x="0" y="0"/>
                <a:ext cx="1646138" cy="1367700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16" name="TextBox 30">
                <a:extLst>
                  <a:ext uri="{FF2B5EF4-FFF2-40B4-BE49-F238E27FC236}">
                    <a16:creationId xmlns:a16="http://schemas.microsoft.com/office/drawing/2014/main" id="{59D9B5D4-E91A-C972-1CD0-70ABA903F37A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14" name="TextBox 34">
              <a:extLst>
                <a:ext uri="{FF2B5EF4-FFF2-40B4-BE49-F238E27FC236}">
                  <a16:creationId xmlns:a16="http://schemas.microsoft.com/office/drawing/2014/main" id="{CD676AC6-0DD9-A7E8-9786-78C0AE344293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2" name="TextBox 39">
              <a:extLst>
                <a:ext uri="{FF2B5EF4-FFF2-40B4-BE49-F238E27FC236}">
                  <a16:creationId xmlns:a16="http://schemas.microsoft.com/office/drawing/2014/main" id="{E8974D61-4B1E-97A6-2BC5-7E4490549F00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0" name="TextBox 44">
              <a:extLst>
                <a:ext uri="{FF2B5EF4-FFF2-40B4-BE49-F238E27FC236}">
                  <a16:creationId xmlns:a16="http://schemas.microsoft.com/office/drawing/2014/main" id="{879F73C9-DB1B-94BF-03C9-6AD76C98632A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87" name="Freeform 46">
              <a:extLst>
                <a:ext uri="{FF2B5EF4-FFF2-40B4-BE49-F238E27FC236}">
                  <a16:creationId xmlns:a16="http://schemas.microsoft.com/office/drawing/2014/main" id="{A49C02CC-2083-CF09-56AC-10A1F7FCB94D}"/>
                </a:ext>
              </a:extLst>
            </xdr:cNvPr>
            <xdr:cNvSpPr/>
          </xdr:nvSpPr>
          <xdr:spPr>
            <a:xfrm>
              <a:off x="6359839" y="3141655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7">
                <a:extLs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08" name="TextBox 80">
              <a:extLst>
                <a:ext uri="{FF2B5EF4-FFF2-40B4-BE49-F238E27FC236}">
                  <a16:creationId xmlns:a16="http://schemas.microsoft.com/office/drawing/2014/main" id="{344B02F3-3D78-4D38-8B34-19E0D72A1B85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94" name="TextBox 87">
              <a:extLst>
                <a:ext uri="{FF2B5EF4-FFF2-40B4-BE49-F238E27FC236}">
                  <a16:creationId xmlns:a16="http://schemas.microsoft.com/office/drawing/2014/main" id="{5D8C7E22-D959-0E70-1CB0-56551BC1FEE9}"/>
                </a:ext>
              </a:extLst>
            </xdr:cNvPr>
            <xdr:cNvSpPr txBox="1"/>
          </xdr:nvSpPr>
          <xdr:spPr>
            <a:xfrm>
              <a:off x="3106046" y="3167501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416E76C3-FD45-9CC1-71C8-178DCCC60968}"/>
              </a:ext>
            </a:extLst>
          </xdr:cNvPr>
          <xdr:cNvGrpSpPr/>
        </xdr:nvGrpSpPr>
        <xdr:grpSpPr>
          <a:xfrm>
            <a:off x="12644584" y="1157408"/>
            <a:ext cx="575915" cy="579378"/>
            <a:chOff x="12691445" y="653143"/>
            <a:chExt cx="574896" cy="579378"/>
          </a:xfrm>
        </xdr:grpSpPr>
        <xdr:pic>
          <xdr:nvPicPr>
            <xdr:cNvPr id="165" name="Picture 164">
              <a:extLst>
                <a:ext uri="{FF2B5EF4-FFF2-40B4-BE49-F238E27FC236}">
                  <a16:creationId xmlns:a16="http://schemas.microsoft.com/office/drawing/2014/main" id="{1D2BC28D-8D05-469B-BA18-58F3A81353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2691445" y="653143"/>
              <a:ext cx="574896" cy="579378"/>
            </a:xfrm>
            <a:prstGeom prst="rect">
              <a:avLst/>
            </a:prstGeom>
          </xdr:spPr>
        </xdr:pic>
        <xdr:sp macro="" textlink="">
          <xdr:nvSpPr>
            <xdr:cNvPr id="166" name="Freeform 33">
              <a:extLst>
                <a:ext uri="{FF2B5EF4-FFF2-40B4-BE49-F238E27FC236}">
                  <a16:creationId xmlns:a16="http://schemas.microsoft.com/office/drawing/2014/main" id="{000C2A79-835B-4F27-9921-68EC9F40460B}"/>
                </a:ext>
              </a:extLst>
            </xdr:cNvPr>
            <xdr:cNvSpPr/>
          </xdr:nvSpPr>
          <xdr:spPr>
            <a:xfrm>
              <a:off x="12790333" y="751807"/>
              <a:ext cx="377121" cy="382051"/>
            </a:xfrm>
            <a:custGeom>
              <a:avLst/>
              <a:gdLst/>
              <a:ahLst/>
              <a:cxnLst/>
              <a:rect l="l" t="t" r="r" b="b"/>
              <a:pathLst>
                <a:path w="812800" h="812800">
                  <a:moveTo>
                    <a:pt x="406400" y="0"/>
                  </a:moveTo>
                  <a:cubicBezTo>
                    <a:pt x="181951" y="0"/>
                    <a:pt x="0" y="181951"/>
                    <a:pt x="0" y="406400"/>
                  </a:cubicBezTo>
                  <a:cubicBezTo>
                    <a:pt x="0" y="630849"/>
                    <a:pt x="181951" y="812800"/>
                    <a:pt x="406400" y="812800"/>
                  </a:cubicBezTo>
                  <a:cubicBezTo>
                    <a:pt x="630849" y="812800"/>
                    <a:pt x="812800" y="630849"/>
                    <a:pt x="812800" y="406400"/>
                  </a:cubicBezTo>
                  <a:cubicBezTo>
                    <a:pt x="812800" y="181951"/>
                    <a:pt x="630849" y="0"/>
                    <a:pt x="406400" y="0"/>
                  </a:cubicBezTo>
                  <a:close/>
                </a:path>
              </a:pathLst>
            </a:custGeom>
            <a:gradFill rotWithShape="1">
              <a:gsLst>
                <a:gs pos="0">
                  <a:srgbClr val="38B6FF">
                    <a:alpha val="100000"/>
                  </a:srgbClr>
                </a:gs>
                <a:gs pos="100000">
                  <a:srgbClr val="44489A">
                    <a:alpha val="100000"/>
                  </a:srgbClr>
                </a:gs>
              </a:gsLst>
              <a:lin ang="2700000"/>
            </a:grad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67" name="Freeform 81">
              <a:extLst>
                <a:ext uri="{FF2B5EF4-FFF2-40B4-BE49-F238E27FC236}">
                  <a16:creationId xmlns:a16="http://schemas.microsoft.com/office/drawing/2014/main" id="{1C8CC130-4558-437B-9E02-FDC3C9DC8BA6}"/>
                </a:ext>
              </a:extLst>
            </xdr:cNvPr>
            <xdr:cNvSpPr/>
          </xdr:nvSpPr>
          <xdr:spPr>
            <a:xfrm>
              <a:off x="12897805" y="826872"/>
              <a:ext cx="168815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0">
                <a:extLst>
                  <a:ext uri="{96DAC541-7B7A-43D3-8B79-37D633B846F1}">
                    <asvg:svgBlip xmlns:asvg="http://schemas.microsoft.com/office/drawing/2016/SVG/main" r:embed="rId21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  <xdr:pic>
        <xdr:nvPicPr>
          <xdr:cNvPr id="175" name="Picture 174">
            <a:extLst>
              <a:ext uri="{FF2B5EF4-FFF2-40B4-BE49-F238E27FC236}">
                <a16:creationId xmlns:a16="http://schemas.microsoft.com/office/drawing/2014/main" id="{D0660A47-97F2-7F43-074D-4C49A661E2F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952981" y="1860177"/>
            <a:ext cx="3535966" cy="48812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29</xdr:col>
      <xdr:colOff>342034</xdr:colOff>
      <xdr:row>9</xdr:row>
      <xdr:rowOff>92013</xdr:rowOff>
    </xdr:from>
    <xdr:to>
      <xdr:col>35</xdr:col>
      <xdr:colOff>202622</xdr:colOff>
      <xdr:row>35</xdr:row>
      <xdr:rowOff>9325</xdr:rowOff>
    </xdr:to>
    <xdr:pic>
      <xdr:nvPicPr>
        <xdr:cNvPr id="180" name="Picture 179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185BE03-D044-F017-A226-10F9A8CD7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9989" y="1806513"/>
          <a:ext cx="3497406" cy="4870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14820</xdr:colOff>
      <xdr:row>5</xdr:row>
      <xdr:rowOff>184510</xdr:rowOff>
    </xdr:from>
    <xdr:to>
      <xdr:col>29</xdr:col>
      <xdr:colOff>598511</xdr:colOff>
      <xdr:row>9</xdr:row>
      <xdr:rowOff>2894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8090ABB-3364-EDFC-32F6-007D857FF842}"/>
            </a:ext>
          </a:extLst>
        </xdr:cNvPr>
        <xdr:cNvGrpSpPr/>
      </xdr:nvGrpSpPr>
      <xdr:grpSpPr>
        <a:xfrm>
          <a:off x="17563232" y="1137010"/>
          <a:ext cx="583691" cy="580384"/>
          <a:chOff x="17272862" y="673184"/>
          <a:chExt cx="575896" cy="580384"/>
        </a:xfrm>
      </xdr:grpSpPr>
      <xdr:pic>
        <xdr:nvPicPr>
          <xdr:cNvPr id="181" name="Picture 180">
            <a:extLst>
              <a:ext uri="{FF2B5EF4-FFF2-40B4-BE49-F238E27FC236}">
                <a16:creationId xmlns:a16="http://schemas.microsoft.com/office/drawing/2014/main" id="{33424C39-ACAF-4739-8F2D-E2F4DC11D1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7272862" y="673184"/>
            <a:ext cx="575896" cy="580384"/>
          </a:xfrm>
          <a:prstGeom prst="rect">
            <a:avLst/>
          </a:prstGeom>
        </xdr:spPr>
      </xdr:pic>
      <xdr:sp macro="" textlink="">
        <xdr:nvSpPr>
          <xdr:cNvPr id="182" name="Freeform 38">
            <a:extLst>
              <a:ext uri="{FF2B5EF4-FFF2-40B4-BE49-F238E27FC236}">
                <a16:creationId xmlns:a16="http://schemas.microsoft.com/office/drawing/2014/main" id="{AAF31CD6-390D-4299-885A-8BB6CC91E671}"/>
              </a:ext>
            </a:extLst>
          </xdr:cNvPr>
          <xdr:cNvSpPr/>
        </xdr:nvSpPr>
        <xdr:spPr>
          <a:xfrm>
            <a:off x="17371446" y="772018"/>
            <a:ext cx="378727" cy="382714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83" name="Freeform 82">
            <a:extLst>
              <a:ext uri="{FF2B5EF4-FFF2-40B4-BE49-F238E27FC236}">
                <a16:creationId xmlns:a16="http://schemas.microsoft.com/office/drawing/2014/main" id="{134F2019-C6EF-446B-9036-B969616BDFCE}"/>
              </a:ext>
            </a:extLst>
          </xdr:cNvPr>
          <xdr:cNvSpPr/>
        </xdr:nvSpPr>
        <xdr:spPr>
          <a:xfrm>
            <a:off x="17455309" y="852781"/>
            <a:ext cx="217664" cy="221189"/>
          </a:xfrm>
          <a:custGeom>
            <a:avLst/>
            <a:gdLst/>
            <a:ahLst/>
            <a:cxnLst/>
            <a:rect l="l" t="t" r="r" b="b"/>
            <a:pathLst>
              <a:path w="218217" h="221189">
                <a:moveTo>
                  <a:pt x="0" y="0"/>
                </a:moveTo>
                <a:lnTo>
                  <a:pt x="218216" y="0"/>
                </a:lnTo>
                <a:lnTo>
                  <a:pt x="218216" y="221189"/>
                </a:lnTo>
                <a:lnTo>
                  <a:pt x="0" y="22118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22">
              <a:extLs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5</xdr:col>
      <xdr:colOff>333019</xdr:colOff>
      <xdr:row>10</xdr:row>
      <xdr:rowOff>47026</xdr:rowOff>
    </xdr:from>
    <xdr:to>
      <xdr:col>9</xdr:col>
      <xdr:colOff>387736</xdr:colOff>
      <xdr:row>11</xdr:row>
      <xdr:rowOff>147108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73EB2CA-ED19-99A9-7E83-F5A180785F69}"/>
            </a:ext>
          </a:extLst>
        </xdr:cNvPr>
        <xdr:cNvGrpSpPr/>
      </xdr:nvGrpSpPr>
      <xdr:grpSpPr>
        <a:xfrm>
          <a:off x="3358607" y="1952026"/>
          <a:ext cx="2475188" cy="290582"/>
          <a:chOff x="3433657" y="2260723"/>
          <a:chExt cx="2483592" cy="290582"/>
        </a:xfrm>
      </xdr:grpSpPr>
      <xdr:sp macro="" textlink="">
        <xdr:nvSpPr>
          <xdr:cNvPr id="12" name="Freeform 69">
            <a:extLst>
              <a:ext uri="{FF2B5EF4-FFF2-40B4-BE49-F238E27FC236}">
                <a16:creationId xmlns:a16="http://schemas.microsoft.com/office/drawing/2014/main" id="{B38AA42E-1ABF-43E4-958E-2501B71822F4}"/>
              </a:ext>
            </a:extLst>
          </xdr:cNvPr>
          <xdr:cNvSpPr/>
        </xdr:nvSpPr>
        <xdr:spPr>
          <a:xfrm>
            <a:off x="3433657" y="2260723"/>
            <a:ext cx="253918" cy="244931"/>
          </a:xfrm>
          <a:custGeom>
            <a:avLst/>
            <a:gdLst/>
            <a:ahLst/>
            <a:cxnLst/>
            <a:rect l="l" t="t" r="r" b="b"/>
            <a:pathLst>
              <a:path w="131111" h="131111">
                <a:moveTo>
                  <a:pt x="0" y="0"/>
                </a:moveTo>
                <a:lnTo>
                  <a:pt x="131111" y="0"/>
                </a:lnTo>
                <a:lnTo>
                  <a:pt x="131111" y="131112"/>
                </a:lnTo>
                <a:lnTo>
                  <a:pt x="0" y="131112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31">
              <a:extLst>
                <a:ext uri="{96DAC541-7B7A-43D3-8B79-37D633B846F1}">
                  <asvg:svgBlip xmlns:asvg="http://schemas.microsoft.com/office/drawing/2016/SVG/main" r:embed="rId32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3" name="TextBox 89">
            <a:extLst>
              <a:ext uri="{FF2B5EF4-FFF2-40B4-BE49-F238E27FC236}">
                <a16:creationId xmlns:a16="http://schemas.microsoft.com/office/drawing/2014/main" id="{73BEEAF8-DFF2-494A-A15A-EFC91D067143}"/>
              </a:ext>
            </a:extLst>
          </xdr:cNvPr>
          <xdr:cNvSpPr txBox="1"/>
        </xdr:nvSpPr>
        <xdr:spPr>
          <a:xfrm>
            <a:off x="3762726" y="2298030"/>
            <a:ext cx="2154523" cy="253275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2000">
                <a:solidFill>
                  <a:srgbClr val="FFFFFF"/>
                </a:solidFill>
                <a:latin typeface="Poppins"/>
                <a:ea typeface="Poppins"/>
                <a:cs typeface="Poppins"/>
                <a:sym typeface="Poppins"/>
              </a:rPr>
              <a:t>Paid Difference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258175</xdr:colOff>
      <xdr:row>0</xdr:row>
      <xdr:rowOff>0</xdr:rowOff>
    </xdr:from>
    <xdr:to>
      <xdr:col>4</xdr:col>
      <xdr:colOff>815013</xdr:colOff>
      <xdr:row>3</xdr:row>
      <xdr:rowOff>0</xdr:rowOff>
    </xdr:to>
    <xdr:sp macro="" textlink="">
      <xdr:nvSpPr>
        <xdr:cNvPr id="2" name="Freeform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3D40289-E1A6-4CC1-985F-62C733E8F1AB}"/>
            </a:ext>
          </a:extLst>
        </xdr:cNvPr>
        <xdr:cNvSpPr/>
      </xdr:nvSpPr>
      <xdr:spPr>
        <a:xfrm>
          <a:off x="5098066" y="0"/>
          <a:ext cx="1479572" cy="571500"/>
        </a:xfrm>
        <a:custGeom>
          <a:avLst/>
          <a:gdLst/>
          <a:ahLst/>
          <a:cxnLst/>
          <a:rect l="l" t="t" r="r" b="b"/>
          <a:pathLst>
            <a:path w="718918" h="373405">
              <a:moveTo>
                <a:pt x="76578" y="0"/>
              </a:moveTo>
              <a:lnTo>
                <a:pt x="642340" y="0"/>
              </a:lnTo>
              <a:cubicBezTo>
                <a:pt x="662650" y="0"/>
                <a:pt x="682128" y="8068"/>
                <a:pt x="696489" y="22429"/>
              </a:cubicBezTo>
              <a:cubicBezTo>
                <a:pt x="710850" y="36791"/>
                <a:pt x="718918" y="56269"/>
                <a:pt x="718918" y="76578"/>
              </a:cubicBezTo>
              <a:lnTo>
                <a:pt x="718918" y="296826"/>
              </a:lnTo>
              <a:cubicBezTo>
                <a:pt x="718918" y="317136"/>
                <a:pt x="710850" y="336614"/>
                <a:pt x="696489" y="350975"/>
              </a:cubicBezTo>
              <a:cubicBezTo>
                <a:pt x="682128" y="365337"/>
                <a:pt x="662650" y="373405"/>
                <a:pt x="642340" y="373405"/>
              </a:cubicBezTo>
              <a:lnTo>
                <a:pt x="76578" y="373405"/>
              </a:lnTo>
              <a:cubicBezTo>
                <a:pt x="56269" y="373405"/>
                <a:pt x="36791" y="365337"/>
                <a:pt x="22429" y="350975"/>
              </a:cubicBezTo>
              <a:cubicBezTo>
                <a:pt x="8068" y="336614"/>
                <a:pt x="0" y="317136"/>
                <a:pt x="0" y="296826"/>
              </a:cubicBezTo>
              <a:lnTo>
                <a:pt x="0" y="76578"/>
              </a:lnTo>
              <a:cubicBezTo>
                <a:pt x="0" y="56269"/>
                <a:pt x="8068" y="36791"/>
                <a:pt x="22429" y="22429"/>
              </a:cubicBezTo>
              <a:cubicBezTo>
                <a:pt x="36791" y="8068"/>
                <a:pt x="56269" y="0"/>
                <a:pt x="76578" y="0"/>
              </a:cubicBezTo>
              <a:close/>
            </a:path>
          </a:pathLst>
        </a:custGeom>
        <a:solidFill>
          <a:schemeClr val="accent1">
            <a:lumMod val="50000"/>
          </a:schemeClr>
        </a:solidFill>
      </xdr:spPr>
      <xdr:txBody>
        <a:bodyPr wrap="square"/>
        <a:lstStyle/>
        <a:p>
          <a:endParaRPr lang="en-PH" sz="700"/>
        </a:p>
      </xdr:txBody>
    </xdr:sp>
    <xdr:clientData/>
  </xdr:twoCellAnchor>
  <xdr:twoCellAnchor>
    <xdr:from>
      <xdr:col>3</xdr:col>
      <xdr:colOff>472489</xdr:colOff>
      <xdr:row>0</xdr:row>
      <xdr:rowOff>0</xdr:rowOff>
    </xdr:from>
    <xdr:to>
      <xdr:col>4</xdr:col>
      <xdr:colOff>785813</xdr:colOff>
      <xdr:row>2</xdr:row>
      <xdr:rowOff>95249</xdr:rowOff>
    </xdr:to>
    <xdr:sp macro="" textlink="">
      <xdr:nvSpPr>
        <xdr:cNvPr id="3" name="TextBox 8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887C91F-2E68-414B-8BEB-F244062ADDC5}"/>
            </a:ext>
          </a:extLst>
        </xdr:cNvPr>
        <xdr:cNvSpPr txBox="1"/>
      </xdr:nvSpPr>
      <xdr:spPr>
        <a:xfrm>
          <a:off x="5312380" y="0"/>
          <a:ext cx="1236058" cy="476249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3919"/>
            </a:lnSpc>
          </a:pPr>
          <a:r>
            <a:rPr lang="en-US" sz="2400" b="1">
              <a:solidFill>
                <a:srgbClr val="FFFFFF"/>
              </a:solidFill>
              <a:latin typeface="Sukar Heavy"/>
              <a:ea typeface="Sukar Heavy"/>
              <a:cs typeface="Sukar Heavy"/>
              <a:sym typeface="Sukar Heavy"/>
            </a:rPr>
            <a:t>Go 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586842</xdr:colOff>
      <xdr:row>3</xdr:row>
      <xdr:rowOff>98880</xdr:rowOff>
    </xdr:from>
    <xdr:to>
      <xdr:col>10</xdr:col>
      <xdr:colOff>278443</xdr:colOff>
      <xdr:row>13</xdr:row>
      <xdr:rowOff>133692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D7466B58-CF86-4824-9406-5A2BFDEBA3AB}"/>
            </a:ext>
          </a:extLst>
        </xdr:cNvPr>
        <xdr:cNvGrpSpPr/>
      </xdr:nvGrpSpPr>
      <xdr:grpSpPr>
        <a:xfrm>
          <a:off x="3036128" y="670380"/>
          <a:ext cx="3365529" cy="1939812"/>
          <a:chOff x="2379177" y="614089"/>
          <a:chExt cx="3368417" cy="1939812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4DFF85F5-D138-3F37-BCEB-8F923E425B43}"/>
              </a:ext>
            </a:extLst>
          </xdr:cNvPr>
          <xdr:cNvGrpSpPr/>
        </xdr:nvGrpSpPr>
        <xdr:grpSpPr>
          <a:xfrm>
            <a:off x="2379177" y="614089"/>
            <a:ext cx="3368417" cy="1939812"/>
            <a:chOff x="2855014" y="470013"/>
            <a:chExt cx="3348238" cy="193981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EA3405DE-A8D3-6D5A-BDB3-19FB1045DBFC}"/>
                </a:ext>
              </a:extLst>
            </xdr:cNvPr>
            <xdr:cNvGrpSpPr/>
          </xdr:nvGrpSpPr>
          <xdr:grpSpPr>
            <a:xfrm>
              <a:off x="2855014" y="470013"/>
              <a:ext cx="3348238" cy="1939812"/>
              <a:chOff x="2855014" y="470013"/>
              <a:chExt cx="3348238" cy="1939812"/>
            </a:xfrm>
          </xdr:grpSpPr>
          <xdr:grpSp>
            <xdr:nvGrpSpPr>
              <xdr:cNvPr id="133" name="Group 132">
                <a:extLst>
                  <a:ext uri="{FF2B5EF4-FFF2-40B4-BE49-F238E27FC236}">
                    <a16:creationId xmlns:a16="http://schemas.microsoft.com/office/drawing/2014/main" id="{CC3E601F-7924-C452-E425-41835344A93B}"/>
                  </a:ext>
                </a:extLst>
              </xdr:cNvPr>
              <xdr:cNvGrpSpPr/>
            </xdr:nvGrpSpPr>
            <xdr:grpSpPr>
              <a:xfrm>
                <a:off x="2855014" y="470013"/>
                <a:ext cx="3348238" cy="1939812"/>
                <a:chOff x="0" y="-28575"/>
                <a:chExt cx="729839" cy="401980"/>
              </a:xfrm>
            </xdr:grpSpPr>
            <xdr:sp macro="" textlink="">
              <xdr:nvSpPr>
                <xdr:cNvPr id="156" name="Freeform 8">
                  <a:hlinkClick xmlns:r="http://schemas.openxmlformats.org/officeDocument/2006/relationships" r:id="rId1"/>
                  <a:extLst>
                    <a:ext uri="{FF2B5EF4-FFF2-40B4-BE49-F238E27FC236}">
                      <a16:creationId xmlns:a16="http://schemas.microsoft.com/office/drawing/2014/main" id="{CEC8DC07-FFF2-2FF3-42C5-552591CA4129}"/>
                    </a:ext>
                  </a:extLst>
                </xdr:cNvPr>
                <xdr:cNvSpPr/>
              </xdr:nvSpPr>
              <xdr:spPr>
                <a:xfrm>
                  <a:off x="0" y="0"/>
                  <a:ext cx="729839" cy="3734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718918" h="373405">
                      <a:moveTo>
                        <a:pt x="76578" y="0"/>
                      </a:moveTo>
                      <a:lnTo>
                        <a:pt x="642340" y="0"/>
                      </a:lnTo>
                      <a:cubicBezTo>
                        <a:pt x="662650" y="0"/>
                        <a:pt x="682128" y="8068"/>
                        <a:pt x="696489" y="22429"/>
                      </a:cubicBezTo>
                      <a:cubicBezTo>
                        <a:pt x="710850" y="36791"/>
                        <a:pt x="718918" y="56269"/>
                        <a:pt x="718918" y="76578"/>
                      </a:cubicBezTo>
                      <a:lnTo>
                        <a:pt x="718918" y="296826"/>
                      </a:lnTo>
                      <a:cubicBezTo>
                        <a:pt x="718918" y="317136"/>
                        <a:pt x="710850" y="336614"/>
                        <a:pt x="696489" y="350975"/>
                      </a:cubicBezTo>
                      <a:cubicBezTo>
                        <a:pt x="682128" y="365337"/>
                        <a:pt x="662650" y="373405"/>
                        <a:pt x="642340" y="373405"/>
                      </a:cubicBezTo>
                      <a:lnTo>
                        <a:pt x="76578" y="373405"/>
                      </a:lnTo>
                      <a:cubicBezTo>
                        <a:pt x="56269" y="373405"/>
                        <a:pt x="36791" y="365337"/>
                        <a:pt x="22429" y="350975"/>
                      </a:cubicBezTo>
                      <a:cubicBezTo>
                        <a:pt x="8068" y="336614"/>
                        <a:pt x="0" y="317136"/>
                        <a:pt x="0" y="296826"/>
                      </a:cubicBezTo>
                      <a:lnTo>
                        <a:pt x="0" y="76578"/>
                      </a:lnTo>
                      <a:cubicBezTo>
                        <a:pt x="0" y="56269"/>
                        <a:pt x="8068" y="36791"/>
                        <a:pt x="22429" y="22429"/>
                      </a:cubicBezTo>
                      <a:cubicBezTo>
                        <a:pt x="36791" y="8068"/>
                        <a:pt x="56269" y="0"/>
                        <a:pt x="76578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157" name="TextBox 9">
                  <a:extLst>
                    <a:ext uri="{FF2B5EF4-FFF2-40B4-BE49-F238E27FC236}">
                      <a16:creationId xmlns:a16="http://schemas.microsoft.com/office/drawing/2014/main" id="{1EE41FA0-8FA7-4340-F7E0-9F66F7EED0FE}"/>
                    </a:ext>
                  </a:extLst>
                </xdr:cNvPr>
                <xdr:cNvSpPr txBox="1"/>
              </xdr:nvSpPr>
              <xdr:spPr>
                <a:xfrm>
                  <a:off x="0" y="-28575"/>
                  <a:ext cx="718918" cy="401980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  <a:spcBef>
                      <a:spcPct val="0"/>
                    </a:spcBef>
                  </a:pPr>
                  <a:endParaRPr/>
                </a:p>
              </xdr:txBody>
            </xdr:sp>
          </xdr:grpSp>
          <xdr:sp macro="" textlink="">
            <xdr:nvSpPr>
              <xdr:cNvPr id="139" name="TextBox 88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9CCF6990-D45B-9A24-3B1C-2A859C28D8CF}"/>
                  </a:ext>
                </a:extLst>
              </xdr:cNvPr>
              <xdr:cNvSpPr txBox="1"/>
            </xdr:nvSpPr>
            <xdr:spPr>
              <a:xfrm>
                <a:off x="3216343" y="1032428"/>
                <a:ext cx="2429241" cy="526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3919"/>
                  </a:lnSpc>
                </a:pPr>
                <a:r>
                  <a:rPr lang="en-US" sz="4400" b="1">
                    <a:solidFill>
                      <a:srgbClr val="FFFFFF"/>
                    </a:solidFill>
                    <a:latin typeface="Sukar Heavy"/>
                    <a:ea typeface="Sukar Heavy"/>
                    <a:cs typeface="Sukar Heavy"/>
                    <a:sym typeface="Sukar Heavy"/>
                  </a:rPr>
                  <a:t>$954.83 </a:t>
                </a:r>
              </a:p>
            </xdr:txBody>
          </xdr:sp>
          <xdr:grpSp>
            <xdr:nvGrpSpPr>
              <xdr:cNvPr id="153" name="Group 152">
                <a:extLst>
                  <a:ext uri="{FF2B5EF4-FFF2-40B4-BE49-F238E27FC236}">
                    <a16:creationId xmlns:a16="http://schemas.microsoft.com/office/drawing/2014/main" id="{318828AD-5A1A-05BA-3A09-03FF20169A6F}"/>
                  </a:ext>
                </a:extLst>
              </xdr:cNvPr>
              <xdr:cNvGrpSpPr/>
            </xdr:nvGrpSpPr>
            <xdr:grpSpPr>
              <a:xfrm>
                <a:off x="3205543" y="1739322"/>
                <a:ext cx="2489947" cy="295595"/>
                <a:chOff x="3418348" y="1630250"/>
                <a:chExt cx="1282406" cy="158231"/>
              </a:xfrm>
            </xdr:grpSpPr>
            <xdr:sp macro="" textlink="">
              <xdr:nvSpPr>
                <xdr:cNvPr id="154" name="Freeform 69">
                  <a:extLst>
                    <a:ext uri="{FF2B5EF4-FFF2-40B4-BE49-F238E27FC236}">
                      <a16:creationId xmlns:a16="http://schemas.microsoft.com/office/drawing/2014/main" id="{9AE73D6D-296F-F213-95C8-D807897CB65E}"/>
                    </a:ext>
                  </a:extLst>
                </xdr:cNvPr>
                <xdr:cNvSpPr/>
              </xdr:nvSpPr>
              <xdr:spPr>
                <a:xfrm>
                  <a:off x="3418348" y="1630250"/>
                  <a:ext cx="131111" cy="131111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1111" h="131111">
                      <a:moveTo>
                        <a:pt x="0" y="0"/>
                      </a:moveTo>
                      <a:lnTo>
                        <a:pt x="131111" y="0"/>
                      </a:lnTo>
                      <a:lnTo>
                        <a:pt x="131111" y="131112"/>
                      </a:lnTo>
                      <a:lnTo>
                        <a:pt x="0" y="13111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2">
                    <a:extLst>
                      <a:ext uri="{96DAC541-7B7A-43D3-8B79-37D633B846F1}">
                        <asvg:svgBlip xmlns:asvg="http://schemas.microsoft.com/office/drawing/2016/SVG/main" r:embed="rId3"/>
                      </a:ext>
                    </a:extLst>
                  </a:blip>
                  <a:stretch>
                    <a:fillRect/>
                  </a:stretch>
                </a:blip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155" name="TextBox 89">
                  <a:extLst>
                    <a:ext uri="{FF2B5EF4-FFF2-40B4-BE49-F238E27FC236}">
                      <a16:creationId xmlns:a16="http://schemas.microsoft.com/office/drawing/2014/main" id="{3B074C2B-A413-867C-CE2B-D913E5DC9D96}"/>
                    </a:ext>
                  </a:extLst>
                </xdr:cNvPr>
                <xdr:cNvSpPr txBox="1"/>
              </xdr:nvSpPr>
              <xdr:spPr>
                <a:xfrm>
                  <a:off x="3588263" y="1652904"/>
                  <a:ext cx="1112491" cy="135577"/>
                </a:xfrm>
                <a:prstGeom prst="rect">
                  <a:avLst/>
                </a:prstGeom>
              </xdr:spPr>
              <xdr:txBody>
                <a:bodyPr wrap="square" lIns="0" tIns="0" rIns="0" bIns="0" rtlCol="0" anchor="ctr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>
                    <a:lnSpc>
                      <a:spcPts val="1679"/>
                    </a:lnSpc>
                  </a:pPr>
                  <a:r>
                    <a:rPr lang="en-US" sz="2000">
                      <a:solidFill>
                        <a:srgbClr val="FFFFFF"/>
                      </a:solidFill>
                      <a:latin typeface="Poppins"/>
                      <a:ea typeface="Poppins"/>
                      <a:cs typeface="Poppins"/>
                      <a:sym typeface="Poppins"/>
                    </a:rPr>
                    <a:t>Paid Difference</a:t>
                  </a:r>
                </a:p>
              </xdr:txBody>
            </xdr:sp>
          </xdr:grpSp>
        </xdr:grpSp>
        <xdr:sp macro="" textlink="">
          <xdr:nvSpPr>
            <xdr:cNvPr id="120" name="TextBox 105">
              <a:extLst>
                <a:ext uri="{FF2B5EF4-FFF2-40B4-BE49-F238E27FC236}">
                  <a16:creationId xmlns:a16="http://schemas.microsoft.com/office/drawing/2014/main" id="{157B526E-95BB-3993-3C2F-8F8C5B323E4C}"/>
                </a:ext>
              </a:extLst>
            </xdr:cNvPr>
            <xdr:cNvSpPr txBox="1"/>
          </xdr:nvSpPr>
          <xdr:spPr>
            <a:xfrm>
              <a:off x="5353940" y="1463269"/>
              <a:ext cx="579401" cy="214597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679"/>
                </a:lnSpc>
              </a:pPr>
              <a:r>
                <a:rPr lang="en-US" sz="1400" b="1">
                  <a:solidFill>
                    <a:schemeClr val="bg1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0.41%</a:t>
              </a:r>
            </a:p>
          </xdr:txBody>
        </xdr:sp>
      </xdr:grpSp>
      <xdr:sp macro="" textlink="">
        <xdr:nvSpPr>
          <xdr:cNvPr id="29" name="Freeform 35">
            <a:extLst>
              <a:ext uri="{FF2B5EF4-FFF2-40B4-BE49-F238E27FC236}">
                <a16:creationId xmlns:a16="http://schemas.microsoft.com/office/drawing/2014/main" id="{81E9627F-6601-C050-98DA-E3D543DED06E}"/>
              </a:ext>
            </a:extLst>
          </xdr:cNvPr>
          <xdr:cNvSpPr/>
        </xdr:nvSpPr>
        <xdr:spPr>
          <a:xfrm>
            <a:off x="4961466" y="1200756"/>
            <a:ext cx="379387" cy="213430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0</xdr:col>
      <xdr:colOff>462169</xdr:colOff>
      <xdr:row>7</xdr:row>
      <xdr:rowOff>88209</xdr:rowOff>
    </xdr:from>
    <xdr:to>
      <xdr:col>2</xdr:col>
      <xdr:colOff>469209</xdr:colOff>
      <xdr:row>31</xdr:row>
      <xdr:rowOff>88210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EBC87C-295A-4BAF-A306-67D0855DC44A}"/>
            </a:ext>
          </a:extLst>
        </xdr:cNvPr>
        <xdr:cNvGrpSpPr/>
      </xdr:nvGrpSpPr>
      <xdr:grpSpPr>
        <a:xfrm>
          <a:off x="462169" y="1421709"/>
          <a:ext cx="1231683" cy="4572001"/>
          <a:chOff x="489502" y="1209674"/>
          <a:chExt cx="1232866" cy="45720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CED982BF-1798-A7CA-596B-827D8BC21975}"/>
              </a:ext>
            </a:extLst>
          </xdr:cNvPr>
          <xdr:cNvSpPr/>
        </xdr:nvSpPr>
        <xdr:spPr>
          <a:xfrm>
            <a:off x="561976" y="1209674"/>
            <a:ext cx="1092475" cy="4572001"/>
          </a:xfrm>
          <a:prstGeom prst="roundRect">
            <a:avLst>
              <a:gd name="adj" fmla="val 50000"/>
            </a:avLst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4" name="TextBox 112">
            <a:extLst>
              <a:ext uri="{FF2B5EF4-FFF2-40B4-BE49-F238E27FC236}">
                <a16:creationId xmlns:a16="http://schemas.microsoft.com/office/drawing/2014/main" id="{9CCA5A97-25F1-063E-8F18-48677FD78F29}"/>
              </a:ext>
            </a:extLst>
          </xdr:cNvPr>
          <xdr:cNvSpPr txBox="1"/>
        </xdr:nvSpPr>
        <xdr:spPr>
          <a:xfrm>
            <a:off x="489502" y="329151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00B0F0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CCTA</a:t>
            </a:r>
          </a:p>
        </xdr:txBody>
      </xdr:sp>
      <xdr:sp macro="" textlink="">
        <xdr:nvSpPr>
          <xdr:cNvPr id="5" name="TextBox 11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6BC7B91-8A06-E382-9E94-8DBCCB76E27A}"/>
              </a:ext>
            </a:extLst>
          </xdr:cNvPr>
          <xdr:cNvSpPr txBox="1"/>
        </xdr:nvSpPr>
        <xdr:spPr>
          <a:xfrm>
            <a:off x="506068" y="399056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LATVA</a:t>
            </a:r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2622B5E6-4EB6-154A-8AD1-A940A6F6D582}"/>
              </a:ext>
            </a:extLst>
          </xdr:cNvPr>
          <xdr:cNvGrpSpPr/>
        </xdr:nvGrpSpPr>
        <xdr:grpSpPr>
          <a:xfrm>
            <a:off x="775381" y="2296049"/>
            <a:ext cx="640948" cy="618645"/>
            <a:chOff x="512916" y="2597968"/>
            <a:chExt cx="212016" cy="220233"/>
          </a:xfrm>
        </xdr:grpSpPr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C838B336-B00A-2598-66A1-753EE82CF8E2}"/>
                </a:ext>
              </a:extLst>
            </xdr:cNvPr>
            <xdr:cNvGrpSpPr/>
          </xdr:nvGrpSpPr>
          <xdr:grpSpPr>
            <a:xfrm>
              <a:off x="512916" y="2597968"/>
              <a:ext cx="212016" cy="220233"/>
              <a:chOff x="-21006" y="47625"/>
              <a:chExt cx="812800" cy="844301"/>
            </a:xfrm>
          </xdr:grpSpPr>
          <xdr:sp macro="" textlink="">
            <xdr:nvSpPr>
              <xdr:cNvPr id="9" name="Freeform 14">
                <a:hlinkClick xmlns:r="http://schemas.openxmlformats.org/officeDocument/2006/relationships" r:id="rId7"/>
                <a:extLst>
                  <a:ext uri="{FF2B5EF4-FFF2-40B4-BE49-F238E27FC236}">
                    <a16:creationId xmlns:a16="http://schemas.microsoft.com/office/drawing/2014/main" id="{A48C0620-91DE-C47E-A635-19D574D6B834}"/>
                  </a:ext>
                </a:extLst>
              </xdr:cNvPr>
              <xdr:cNvSpPr/>
            </xdr:nvSpPr>
            <xdr:spPr>
              <a:xfrm>
                <a:off x="-21006" y="79126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solidFill>
                <a:srgbClr val="000000"/>
              </a:soli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10" name="TextBox 15">
                <a:extLst>
                  <a:ext uri="{FF2B5EF4-FFF2-40B4-BE49-F238E27FC236}">
                    <a16:creationId xmlns:a16="http://schemas.microsoft.com/office/drawing/2014/main" id="{6D0445D4-E6E9-3CDF-7CB9-B0D904391E41}"/>
                  </a:ext>
                </a:extLst>
              </xdr:cNvPr>
              <xdr:cNvSpPr txBox="1"/>
            </xdr:nvSpPr>
            <xdr:spPr>
              <a:xfrm>
                <a:off x="76200" y="47625"/>
                <a:ext cx="660400" cy="68897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679"/>
                  </a:lnSpc>
                </a:pPr>
                <a:endParaRPr/>
              </a:p>
            </xdr:txBody>
          </xdr:sp>
        </xdr:grpSp>
        <xdr:sp macro="[0]!Freeform16_Click" textlink="">
          <xdr:nvSpPr>
            <xdr:cNvPr id="8" name="Freeform 16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6C6BA781-07BB-2D02-9500-1B13258B92CB}"/>
                </a:ext>
              </a:extLst>
            </xdr:cNvPr>
            <xdr:cNvSpPr/>
          </xdr:nvSpPr>
          <xdr:spPr>
            <a:xfrm>
              <a:off x="552296" y="2655560"/>
              <a:ext cx="133255" cy="113267"/>
            </a:xfrm>
            <a:custGeom>
              <a:avLst/>
              <a:gdLst/>
              <a:ahLst/>
              <a:cxnLst/>
              <a:rect l="l" t="t" r="r" b="b"/>
              <a:pathLst>
                <a:path w="133255" h="113267">
                  <a:moveTo>
                    <a:pt x="0" y="0"/>
                  </a:moveTo>
                  <a:lnTo>
                    <a:pt x="133255" y="0"/>
                  </a:lnTo>
                  <a:lnTo>
                    <a:pt x="133255" y="113266"/>
                  </a:lnTo>
                  <a:lnTo>
                    <a:pt x="0" y="11326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8">
                <a:extLs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12</xdr:col>
      <xdr:colOff>545319</xdr:colOff>
      <xdr:row>21</xdr:row>
      <xdr:rowOff>173086</xdr:rowOff>
    </xdr:from>
    <xdr:to>
      <xdr:col>13</xdr:col>
      <xdr:colOff>245859</xdr:colOff>
      <xdr:row>23</xdr:row>
      <xdr:rowOff>124888</xdr:rowOff>
    </xdr:to>
    <xdr:sp macro="" textlink="">
      <xdr:nvSpPr>
        <xdr:cNvPr id="11" name="TextBox 34">
          <a:extLst>
            <a:ext uri="{FF2B5EF4-FFF2-40B4-BE49-F238E27FC236}">
              <a16:creationId xmlns:a16="http://schemas.microsoft.com/office/drawing/2014/main" id="{027B5F6E-04B4-461A-86C8-49AACB5946C7}"/>
            </a:ext>
          </a:extLst>
        </xdr:cNvPr>
        <xdr:cNvSpPr txBox="1"/>
      </xdr:nvSpPr>
      <xdr:spPr>
        <a:xfrm>
          <a:off x="7860519" y="4173586"/>
          <a:ext cx="310140" cy="332802"/>
        </a:xfrm>
        <a:prstGeom prst="rect">
          <a:avLst/>
        </a:prstGeom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960"/>
            </a:lnSpc>
          </a:pPr>
          <a:endParaRPr/>
        </a:p>
      </xdr:txBody>
    </xdr:sp>
    <xdr:clientData/>
  </xdr:twoCellAnchor>
  <xdr:twoCellAnchor>
    <xdr:from>
      <xdr:col>12</xdr:col>
      <xdr:colOff>122464</xdr:colOff>
      <xdr:row>16</xdr:row>
      <xdr:rowOff>47030</xdr:rowOff>
    </xdr:from>
    <xdr:to>
      <xdr:col>19</xdr:col>
      <xdr:colOff>168089</xdr:colOff>
      <xdr:row>38</xdr:row>
      <xdr:rowOff>132083</xdr:rowOff>
    </xdr:to>
    <xdr:grpSp>
      <xdr:nvGrpSpPr>
        <xdr:cNvPr id="12" name="Group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7755899-6373-422F-B832-F35534D46CAA}"/>
            </a:ext>
          </a:extLst>
        </xdr:cNvPr>
        <xdr:cNvGrpSpPr/>
      </xdr:nvGrpSpPr>
      <xdr:grpSpPr>
        <a:xfrm>
          <a:off x="7470321" y="3095030"/>
          <a:ext cx="4331875" cy="4276053"/>
          <a:chOff x="7383876" y="3095030"/>
          <a:chExt cx="4601108" cy="4276053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F20CBEB2-818B-8CD6-9D16-BD9C2DC48208}"/>
              </a:ext>
            </a:extLst>
          </xdr:cNvPr>
          <xdr:cNvGrpSpPr/>
        </xdr:nvGrpSpPr>
        <xdr:grpSpPr>
          <a:xfrm>
            <a:off x="7383876" y="3095030"/>
            <a:ext cx="4601108" cy="4276053"/>
            <a:chOff x="0" y="-47625"/>
            <a:chExt cx="1646138" cy="1520374"/>
          </a:xfrm>
        </xdr:grpSpPr>
        <xdr:sp macro="" textlink="">
          <xdr:nvSpPr>
            <xdr:cNvPr id="15" name="Freeform 29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5D13D93-1576-2BB2-FA2D-ED0EB3541CEF}"/>
                </a:ext>
              </a:extLst>
            </xdr:cNvPr>
            <xdr:cNvSpPr/>
          </xdr:nvSpPr>
          <xdr:spPr>
            <a:xfrm>
              <a:off x="0" y="0"/>
              <a:ext cx="1646138" cy="1151466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6" name="TextBox 30">
              <a:extLst>
                <a:ext uri="{FF2B5EF4-FFF2-40B4-BE49-F238E27FC236}">
                  <a16:creationId xmlns:a16="http://schemas.microsoft.com/office/drawing/2014/main" id="{3368F989-60EB-6CB3-914B-0FDEB633FD46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14" name="Freeform 46">
            <a:extLst>
              <a:ext uri="{FF2B5EF4-FFF2-40B4-BE49-F238E27FC236}">
                <a16:creationId xmlns:a16="http://schemas.microsoft.com/office/drawing/2014/main" id="{F560D351-8677-CBDC-6D3C-429B8F104118}"/>
              </a:ext>
            </a:extLst>
          </xdr:cNvPr>
          <xdr:cNvSpPr/>
        </xdr:nvSpPr>
        <xdr:spPr>
          <a:xfrm>
            <a:off x="11552065" y="3588972"/>
            <a:ext cx="10008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1">
              <a:extLs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13</xdr:col>
      <xdr:colOff>497093</xdr:colOff>
      <xdr:row>18</xdr:row>
      <xdr:rowOff>109588</xdr:rowOff>
    </xdr:from>
    <xdr:to>
      <xdr:col>16</xdr:col>
      <xdr:colOff>229402</xdr:colOff>
      <xdr:row>19</xdr:row>
      <xdr:rowOff>178729</xdr:rowOff>
    </xdr:to>
    <xdr:sp macro="" textlink="">
      <xdr:nvSpPr>
        <xdr:cNvPr id="17" name="TextBox 87">
          <a:extLst>
            <a:ext uri="{FF2B5EF4-FFF2-40B4-BE49-F238E27FC236}">
              <a16:creationId xmlns:a16="http://schemas.microsoft.com/office/drawing/2014/main" id="{CAF6B6DC-8C79-4FBE-AA78-1D71EEF902E8}"/>
            </a:ext>
          </a:extLst>
        </xdr:cNvPr>
        <xdr:cNvSpPr txBox="1"/>
      </xdr:nvSpPr>
      <xdr:spPr>
        <a:xfrm>
          <a:off x="8421893" y="3538588"/>
          <a:ext cx="1561109" cy="25964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Operators</a:t>
          </a:r>
        </a:p>
      </xdr:txBody>
    </xdr:sp>
    <xdr:clientData/>
  </xdr:twoCellAnchor>
  <xdr:twoCellAnchor>
    <xdr:from>
      <xdr:col>9</xdr:col>
      <xdr:colOff>541351</xdr:colOff>
      <xdr:row>28</xdr:row>
      <xdr:rowOff>78811</xdr:rowOff>
    </xdr:from>
    <xdr:to>
      <xdr:col>10</xdr:col>
      <xdr:colOff>477575</xdr:colOff>
      <xdr:row>29</xdr:row>
      <xdr:rowOff>106319</xdr:rowOff>
    </xdr:to>
    <xdr:sp macro="" textlink="">
      <xdr:nvSpPr>
        <xdr:cNvPr id="18" name="TextBox 110">
          <a:extLst>
            <a:ext uri="{FF2B5EF4-FFF2-40B4-BE49-F238E27FC236}">
              <a16:creationId xmlns:a16="http://schemas.microsoft.com/office/drawing/2014/main" id="{36C7CBD1-C993-4885-8D85-403E32A69489}"/>
            </a:ext>
          </a:extLst>
        </xdr:cNvPr>
        <xdr:cNvSpPr txBox="1"/>
      </xdr:nvSpPr>
      <xdr:spPr>
        <a:xfrm>
          <a:off x="6027751" y="5412811"/>
          <a:ext cx="545824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9</xdr:col>
      <xdr:colOff>522032</xdr:colOff>
      <xdr:row>32</xdr:row>
      <xdr:rowOff>14725</xdr:rowOff>
    </xdr:from>
    <xdr:to>
      <xdr:col>10</xdr:col>
      <xdr:colOff>506865</xdr:colOff>
      <xdr:row>33</xdr:row>
      <xdr:rowOff>42233</xdr:rowOff>
    </xdr:to>
    <xdr:sp macro="" textlink="">
      <xdr:nvSpPr>
        <xdr:cNvPr id="19" name="TextBox 110">
          <a:extLst>
            <a:ext uri="{FF2B5EF4-FFF2-40B4-BE49-F238E27FC236}">
              <a16:creationId xmlns:a16="http://schemas.microsoft.com/office/drawing/2014/main" id="{3D90D634-0812-4242-B26D-82DC762A93AB}"/>
            </a:ext>
          </a:extLst>
        </xdr:cNvPr>
        <xdr:cNvSpPr txBox="1"/>
      </xdr:nvSpPr>
      <xdr:spPr>
        <a:xfrm>
          <a:off x="6008432" y="6110725"/>
          <a:ext cx="594433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12</xdr:col>
      <xdr:colOff>554230</xdr:colOff>
      <xdr:row>4</xdr:row>
      <xdr:rowOff>67793</xdr:rowOff>
    </xdr:from>
    <xdr:to>
      <xdr:col>18</xdr:col>
      <xdr:colOff>416544</xdr:colOff>
      <xdr:row>13</xdr:row>
      <xdr:rowOff>150619</xdr:rowOff>
    </xdr:to>
    <xdr:grpSp>
      <xdr:nvGrpSpPr>
        <xdr:cNvPr id="32" name="Group 3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33E6F24-04E4-42B3-BCD6-EE164C8444DD}"/>
            </a:ext>
          </a:extLst>
        </xdr:cNvPr>
        <xdr:cNvGrpSpPr/>
      </xdr:nvGrpSpPr>
      <xdr:grpSpPr>
        <a:xfrm>
          <a:off x="7902087" y="829793"/>
          <a:ext cx="3536243" cy="1797326"/>
          <a:chOff x="7329810" y="683557"/>
          <a:chExt cx="3532589" cy="1797326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7FDB2907-4A72-8941-B308-87A9976A1DEE}"/>
              </a:ext>
            </a:extLst>
          </xdr:cNvPr>
          <xdr:cNvGrpSpPr/>
        </xdr:nvGrpSpPr>
        <xdr:grpSpPr>
          <a:xfrm>
            <a:off x="7329810" y="683557"/>
            <a:ext cx="3532589" cy="1797326"/>
            <a:chOff x="7307819" y="683557"/>
            <a:chExt cx="3520592" cy="1797326"/>
          </a:xfrm>
        </xdr:grpSpPr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8D2D0716-D916-6630-F9EA-9C01585FCB34}"/>
                </a:ext>
              </a:extLst>
            </xdr:cNvPr>
            <xdr:cNvGrpSpPr/>
          </xdr:nvGrpSpPr>
          <xdr:grpSpPr>
            <a:xfrm>
              <a:off x="7307819" y="683557"/>
              <a:ext cx="3520592" cy="1797326"/>
              <a:chOff x="7176826" y="896470"/>
              <a:chExt cx="3485816" cy="1797326"/>
            </a:xfrm>
          </xdr:grpSpPr>
          <xdr:grpSp>
            <xdr:nvGrpSpPr>
              <xdr:cNvPr id="37" name="Group 36">
                <a:extLst>
                  <a:ext uri="{FF2B5EF4-FFF2-40B4-BE49-F238E27FC236}">
                    <a16:creationId xmlns:a16="http://schemas.microsoft.com/office/drawing/2014/main" id="{BA6D1CB5-FD3C-0A2D-816B-E053EB5ED873}"/>
                  </a:ext>
                </a:extLst>
              </xdr:cNvPr>
              <xdr:cNvGrpSpPr/>
            </xdr:nvGrpSpPr>
            <xdr:grpSpPr>
              <a:xfrm>
                <a:off x="7176826" y="896470"/>
                <a:ext cx="3485816" cy="1797326"/>
                <a:chOff x="0" y="-47625"/>
                <a:chExt cx="1345269" cy="904537"/>
              </a:xfrm>
            </xdr:grpSpPr>
            <xdr:sp macro="" textlink="">
              <xdr:nvSpPr>
                <xdr:cNvPr id="53" name="Freeform 67">
                  <a:hlinkClick xmlns:r="http://schemas.openxmlformats.org/officeDocument/2006/relationships" r:id="rId14"/>
                  <a:extLst>
                    <a:ext uri="{FF2B5EF4-FFF2-40B4-BE49-F238E27FC236}">
                      <a16:creationId xmlns:a16="http://schemas.microsoft.com/office/drawing/2014/main" id="{3D9FE17F-F012-D87F-5FAA-CB5F506CFDDE}"/>
                    </a:ext>
                  </a:extLst>
                </xdr:cNvPr>
                <xdr:cNvSpPr/>
              </xdr:nvSpPr>
              <xdr:spPr>
                <a:xfrm>
                  <a:off x="0" y="0"/>
                  <a:ext cx="1345269" cy="8569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45269" h="856912">
                      <a:moveTo>
                        <a:pt x="34785" y="0"/>
                      </a:moveTo>
                      <a:lnTo>
                        <a:pt x="1310483" y="0"/>
                      </a:lnTo>
                      <a:cubicBezTo>
                        <a:pt x="1319709" y="0"/>
                        <a:pt x="1328557" y="3665"/>
                        <a:pt x="1335080" y="10188"/>
                      </a:cubicBezTo>
                      <a:cubicBezTo>
                        <a:pt x="1341604" y="16712"/>
                        <a:pt x="1345269" y="25560"/>
                        <a:pt x="1345269" y="34785"/>
                      </a:cubicBezTo>
                      <a:lnTo>
                        <a:pt x="1345269" y="822127"/>
                      </a:lnTo>
                      <a:cubicBezTo>
                        <a:pt x="1345269" y="831352"/>
                        <a:pt x="1341604" y="840200"/>
                        <a:pt x="1335080" y="846724"/>
                      </a:cubicBezTo>
                      <a:cubicBezTo>
                        <a:pt x="1328557" y="853247"/>
                        <a:pt x="1319709" y="856912"/>
                        <a:pt x="1310483" y="856912"/>
                      </a:cubicBezTo>
                      <a:lnTo>
                        <a:pt x="34785" y="856912"/>
                      </a:lnTo>
                      <a:cubicBezTo>
                        <a:pt x="25560" y="856912"/>
                        <a:pt x="16712" y="853247"/>
                        <a:pt x="10188" y="846724"/>
                      </a:cubicBezTo>
                      <a:cubicBezTo>
                        <a:pt x="3665" y="840200"/>
                        <a:pt x="0" y="831352"/>
                        <a:pt x="0" y="822127"/>
                      </a:cubicBezTo>
                      <a:lnTo>
                        <a:pt x="0" y="34785"/>
                      </a:lnTo>
                      <a:cubicBezTo>
                        <a:pt x="0" y="25560"/>
                        <a:pt x="3665" y="16712"/>
                        <a:pt x="10188" y="10188"/>
                      </a:cubicBezTo>
                      <a:cubicBezTo>
                        <a:pt x="16712" y="3665"/>
                        <a:pt x="25560" y="0"/>
                        <a:pt x="34785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54" name="TextBox 68">
                  <a:extLst>
                    <a:ext uri="{FF2B5EF4-FFF2-40B4-BE49-F238E27FC236}">
                      <a16:creationId xmlns:a16="http://schemas.microsoft.com/office/drawing/2014/main" id="{9DCFFB54-1ADA-9E12-E05A-49C16CC43D7B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345268" cy="904537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38" name="TextBox 151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061ABB6A-90A3-EA77-2DCD-85901F59F56E}"/>
                  </a:ext>
                </a:extLst>
              </xdr:cNvPr>
              <xdr:cNvSpPr txBox="1"/>
            </xdr:nvSpPr>
            <xdr:spPr>
              <a:xfrm>
                <a:off x="8080343" y="1175634"/>
                <a:ext cx="1535585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Latest</a:t>
                </a:r>
                <a:r>
                  <a:rPr lang="en-US" sz="1599" b="1" baseline="0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 Payment</a:t>
                </a:r>
                <a:endPara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endParaRPr>
              </a:p>
            </xdr:txBody>
          </xdr:sp>
          <xdr:sp macro="" textlink="">
            <xdr:nvSpPr>
              <xdr:cNvPr id="39" name="TextBox 153">
                <a:hlinkClick xmlns:r="http://schemas.openxmlformats.org/officeDocument/2006/relationships" r:id="rId15"/>
                <a:extLst>
                  <a:ext uri="{FF2B5EF4-FFF2-40B4-BE49-F238E27FC236}">
                    <a16:creationId xmlns:a16="http://schemas.microsoft.com/office/drawing/2014/main" id="{EE58B3A7-243F-A0A3-3AAB-1104365ABC9C}"/>
                  </a:ext>
                </a:extLst>
              </xdr:cNvPr>
              <xdr:cNvSpPr txBox="1"/>
            </xdr:nvSpPr>
            <xdr:spPr>
              <a:xfrm>
                <a:off x="8080343" y="1580156"/>
                <a:ext cx="1068811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$ 63,732.80 </a:t>
                </a:r>
              </a:p>
            </xdr:txBody>
          </xdr:sp>
          <xdr:sp macro="" textlink="">
            <xdr:nvSpPr>
              <xdr:cNvPr id="40" name="TextBox 154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C54825DB-51DF-AED3-E5CE-65C0A322A837}"/>
                  </a:ext>
                </a:extLst>
              </xdr:cNvPr>
              <xdr:cNvSpPr txBox="1"/>
            </xdr:nvSpPr>
            <xdr:spPr>
              <a:xfrm>
                <a:off x="8069135" y="1898666"/>
                <a:ext cx="1762009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Previous Payment</a:t>
                </a:r>
              </a:p>
            </xdr:txBody>
          </xdr:sp>
          <xdr:sp macro="" textlink="">
            <xdr:nvSpPr>
              <xdr:cNvPr id="41" name="TextBox 156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42C5446D-8463-A276-56B1-FF791096E9C2}"/>
                  </a:ext>
                </a:extLst>
              </xdr:cNvPr>
              <xdr:cNvSpPr txBox="1"/>
            </xdr:nvSpPr>
            <xdr:spPr>
              <a:xfrm>
                <a:off x="8069135" y="2301277"/>
                <a:ext cx="1104535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 b="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$ 64,687.63 </a:t>
                </a:r>
                <a:endParaRPr lang="en-US" sz="1400">
                  <a:solidFill>
                    <a:srgbClr val="00BF63"/>
                  </a:solidFill>
                  <a:latin typeface="Poppins"/>
                  <a:ea typeface="Poppins"/>
                  <a:cs typeface="Poppins"/>
                  <a:sym typeface="Poppins"/>
                </a:endParaRPr>
              </a:p>
            </xdr:txBody>
          </xdr:sp>
          <xdr:grpSp>
            <xdr:nvGrpSpPr>
              <xdr:cNvPr id="42" name="Group 41">
                <a:extLst>
                  <a:ext uri="{FF2B5EF4-FFF2-40B4-BE49-F238E27FC236}">
                    <a16:creationId xmlns:a16="http://schemas.microsoft.com/office/drawing/2014/main" id="{421DDD48-C0DE-2CB8-8342-D0882CBAF905}"/>
                  </a:ext>
                </a:extLst>
              </xdr:cNvPr>
              <xdr:cNvGrpSpPr/>
            </xdr:nvGrpSpPr>
            <xdr:grpSpPr>
              <a:xfrm>
                <a:off x="7450746" y="1138670"/>
                <a:ext cx="638938" cy="1257540"/>
                <a:chOff x="7483834" y="1138670"/>
                <a:chExt cx="643128" cy="1257540"/>
              </a:xfrm>
            </xdr:grpSpPr>
            <xdr:grpSp>
              <xdr:nvGrpSpPr>
                <xdr:cNvPr id="43" name="Group 42">
                  <a:extLst>
                    <a:ext uri="{FF2B5EF4-FFF2-40B4-BE49-F238E27FC236}">
                      <a16:creationId xmlns:a16="http://schemas.microsoft.com/office/drawing/2014/main" id="{83FFF453-F5C7-F030-9952-90E197E3D6F4}"/>
                    </a:ext>
                  </a:extLst>
                </xdr:cNvPr>
                <xdr:cNvGrpSpPr/>
              </xdr:nvGrpSpPr>
              <xdr:grpSpPr>
                <a:xfrm>
                  <a:off x="7483834" y="1138670"/>
                  <a:ext cx="640697" cy="557582"/>
                  <a:chOff x="7483834" y="1138670"/>
                  <a:chExt cx="640697" cy="557582"/>
                </a:xfrm>
              </xdr:grpSpPr>
              <xdr:grpSp>
                <xdr:nvGrpSpPr>
                  <xdr:cNvPr id="49" name="Group 48">
                    <a:extLst>
                      <a:ext uri="{FF2B5EF4-FFF2-40B4-BE49-F238E27FC236}">
                        <a16:creationId xmlns:a16="http://schemas.microsoft.com/office/drawing/2014/main" id="{80582AF9-15FB-33E8-4FFF-B697F72FF34E}"/>
                      </a:ext>
                    </a:extLst>
                  </xdr:cNvPr>
                  <xdr:cNvGrpSpPr/>
                </xdr:nvGrpSpPr>
                <xdr:grpSpPr>
                  <a:xfrm>
                    <a:off x="7483834" y="1138670"/>
                    <a:ext cx="640697" cy="557582"/>
                    <a:chOff x="-79808" y="-47625"/>
                    <a:chExt cx="251512" cy="222411"/>
                  </a:xfrm>
                </xdr:grpSpPr>
                <xdr:sp macro="" textlink="">
                  <xdr:nvSpPr>
                    <xdr:cNvPr id="51" name="Freeform 71">
                      <a:extLst>
                        <a:ext uri="{FF2B5EF4-FFF2-40B4-BE49-F238E27FC236}">
                          <a16:creationId xmlns:a16="http://schemas.microsoft.com/office/drawing/2014/main" id="{6F582B1D-CBB4-06E3-5D6E-19FAE5052740}"/>
                        </a:ext>
                      </a:extLst>
                    </xdr:cNvPr>
                    <xdr:cNvSpPr/>
                  </xdr:nvSpPr>
                  <xdr:spPr>
                    <a:xfrm>
                      <a:off x="-79808" y="3082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52" name="TextBox 72">
                      <a:extLst>
                        <a:ext uri="{FF2B5EF4-FFF2-40B4-BE49-F238E27FC236}">
                          <a16:creationId xmlns:a16="http://schemas.microsoft.com/office/drawing/2014/main" id="{1F9FA12F-E13F-025E-9E5D-EA1926CE446B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50" name="Freeform 109">
                    <a:extLst>
                      <a:ext uri="{FF2B5EF4-FFF2-40B4-BE49-F238E27FC236}">
                        <a16:creationId xmlns:a16="http://schemas.microsoft.com/office/drawing/2014/main" id="{D69F6C40-EE26-4927-7066-E511D5BD8B6F}"/>
                      </a:ext>
                    </a:extLst>
                  </xdr:cNvPr>
                  <xdr:cNvSpPr/>
                </xdr:nvSpPr>
                <xdr:spPr>
                  <a:xfrm>
                    <a:off x="7594834" y="1354645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7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  <xdr:grpSp>
              <xdr:nvGrpSpPr>
                <xdr:cNvPr id="44" name="Group 43">
                  <a:extLst>
                    <a:ext uri="{FF2B5EF4-FFF2-40B4-BE49-F238E27FC236}">
                      <a16:creationId xmlns:a16="http://schemas.microsoft.com/office/drawing/2014/main" id="{A0871384-948A-3285-6552-E527A1DB7BE6}"/>
                    </a:ext>
                  </a:extLst>
                </xdr:cNvPr>
                <xdr:cNvGrpSpPr/>
              </xdr:nvGrpSpPr>
              <xdr:grpSpPr>
                <a:xfrm>
                  <a:off x="7486255" y="1846356"/>
                  <a:ext cx="640707" cy="549854"/>
                  <a:chOff x="7483824" y="1138670"/>
                  <a:chExt cx="640707" cy="549854"/>
                </a:xfrm>
              </xdr:grpSpPr>
              <xdr:grpSp>
                <xdr:nvGrpSpPr>
                  <xdr:cNvPr id="45" name="Group 44">
                    <a:extLst>
                      <a:ext uri="{FF2B5EF4-FFF2-40B4-BE49-F238E27FC236}">
                        <a16:creationId xmlns:a16="http://schemas.microsoft.com/office/drawing/2014/main" id="{82425F57-726C-75DB-1803-BBD5B0ED17D4}"/>
                      </a:ext>
                    </a:extLst>
                  </xdr:cNvPr>
                  <xdr:cNvGrpSpPr/>
                </xdr:nvGrpSpPr>
                <xdr:grpSpPr>
                  <a:xfrm>
                    <a:off x="7483824" y="1138670"/>
                    <a:ext cx="640707" cy="549854"/>
                    <a:chOff x="-79812" y="-47625"/>
                    <a:chExt cx="251516" cy="219329"/>
                  </a:xfrm>
                </xdr:grpSpPr>
                <xdr:sp macro="" textlink="">
                  <xdr:nvSpPr>
                    <xdr:cNvPr id="47" name="Freeform 71">
                      <a:extLst>
                        <a:ext uri="{FF2B5EF4-FFF2-40B4-BE49-F238E27FC236}">
                          <a16:creationId xmlns:a16="http://schemas.microsoft.com/office/drawing/2014/main" id="{356607C3-36A3-0474-9442-BADD676733E0}"/>
                        </a:ext>
                      </a:extLst>
                    </xdr:cNvPr>
                    <xdr:cNvSpPr/>
                  </xdr:nvSpPr>
                  <xdr:spPr>
                    <a:xfrm>
                      <a:off x="-79812" y="0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48" name="TextBox 72">
                      <a:extLst>
                        <a:ext uri="{FF2B5EF4-FFF2-40B4-BE49-F238E27FC236}">
                          <a16:creationId xmlns:a16="http://schemas.microsoft.com/office/drawing/2014/main" id="{2F2FD64F-8750-EC2F-A22D-75242C447411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46" name="Freeform 109">
                    <a:extLst>
                      <a:ext uri="{FF2B5EF4-FFF2-40B4-BE49-F238E27FC236}">
                        <a16:creationId xmlns:a16="http://schemas.microsoft.com/office/drawing/2014/main" id="{01A783C7-9E82-F569-503E-A1E13478F116}"/>
                      </a:ext>
                    </a:extLst>
                  </xdr:cNvPr>
                  <xdr:cNvSpPr/>
                </xdr:nvSpPr>
                <xdr:spPr>
                  <a:xfrm>
                    <a:off x="7594824" y="1346918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7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</xdr:grpSp>
        </xdr:grpSp>
        <xdr:sp macro="" textlink="">
          <xdr:nvSpPr>
            <xdr:cNvPr id="36" name="TextBox 15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B5EB7739-54FC-CE83-49FF-096CAE0B9FBF}"/>
                </a:ext>
              </a:extLst>
            </xdr:cNvPr>
            <xdr:cNvSpPr txBox="1"/>
          </xdr:nvSpPr>
          <xdr:spPr>
            <a:xfrm>
              <a:off x="8217985" y="1174046"/>
              <a:ext cx="2038105" cy="2076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050" b="0">
                  <a:solidFill>
                    <a:schemeClr val="bg2">
                      <a:lumMod val="50000"/>
                    </a:schemeClr>
                  </a:solidFill>
                  <a:latin typeface="Poppins"/>
                  <a:ea typeface="Poppins"/>
                  <a:cs typeface="Poppins"/>
                  <a:sym typeface="Poppins"/>
                </a:rPr>
                <a:t>VDP_DIV5_1021_1103_FINAL</a:t>
              </a:r>
              <a:endParaRPr lang="en-US" sz="105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endParaRPr>
            </a:p>
          </xdr:txBody>
        </xdr:sp>
      </xdr:grpSp>
      <xdr:sp macro="" textlink="">
        <xdr:nvSpPr>
          <xdr:cNvPr id="34" name="TextBox 156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6503025D-6834-23FA-C5DF-6AB3528A57B0}"/>
              </a:ext>
            </a:extLst>
          </xdr:cNvPr>
          <xdr:cNvSpPr txBox="1"/>
        </xdr:nvSpPr>
        <xdr:spPr>
          <a:xfrm>
            <a:off x="8226396" y="1892499"/>
            <a:ext cx="2479347" cy="2076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050" b="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rPr>
              <a:t>DONE-VDP_DIV5_1007_1020_FINAL</a:t>
            </a:r>
            <a:endParaRPr lang="en-US" sz="1050">
              <a:solidFill>
                <a:schemeClr val="bg2">
                  <a:lumMod val="50000"/>
                </a:schemeClr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</xdr:grpSp>
    <xdr:clientData/>
  </xdr:twoCellAnchor>
  <xdr:twoCellAnchor>
    <xdr:from>
      <xdr:col>12</xdr:col>
      <xdr:colOff>410583</xdr:colOff>
      <xdr:row>17</xdr:row>
      <xdr:rowOff>140996</xdr:rowOff>
    </xdr:from>
    <xdr:to>
      <xdr:col>13</xdr:col>
      <xdr:colOff>380594</xdr:colOff>
      <xdr:row>20</xdr:row>
      <xdr:rowOff>148874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C2A6DE49-7EA4-47BD-9C89-57CC5B95B61D}"/>
            </a:ext>
          </a:extLst>
        </xdr:cNvPr>
        <xdr:cNvGrpSpPr/>
      </xdr:nvGrpSpPr>
      <xdr:grpSpPr>
        <a:xfrm>
          <a:off x="7758440" y="3379496"/>
          <a:ext cx="582333" cy="579378"/>
          <a:chOff x="7736174" y="4061491"/>
          <a:chExt cx="580477" cy="579378"/>
        </a:xfrm>
      </xdr:grpSpPr>
      <xdr:pic>
        <xdr:nvPicPr>
          <xdr:cNvPr id="97" name="Picture 96">
            <a:extLst>
              <a:ext uri="{FF2B5EF4-FFF2-40B4-BE49-F238E27FC236}">
                <a16:creationId xmlns:a16="http://schemas.microsoft.com/office/drawing/2014/main" id="{91976719-3978-5C83-A976-358E38EF3F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7736174" y="4061491"/>
            <a:ext cx="580477" cy="579378"/>
          </a:xfrm>
          <a:prstGeom prst="rect">
            <a:avLst/>
          </a:prstGeom>
        </xdr:spPr>
      </xdr:pic>
      <xdr:sp macro="" textlink="">
        <xdr:nvSpPr>
          <xdr:cNvPr id="98" name="Freeform 33">
            <a:extLst>
              <a:ext uri="{FF2B5EF4-FFF2-40B4-BE49-F238E27FC236}">
                <a16:creationId xmlns:a16="http://schemas.microsoft.com/office/drawing/2014/main" id="{43FBB9C6-D246-363D-5912-DBF74E693604}"/>
              </a:ext>
            </a:extLst>
          </xdr:cNvPr>
          <xdr:cNvSpPr/>
        </xdr:nvSpPr>
        <xdr:spPr>
          <a:xfrm>
            <a:off x="7835025" y="4160155"/>
            <a:ext cx="382776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99" name="Freeform 84">
            <a:extLst>
              <a:ext uri="{FF2B5EF4-FFF2-40B4-BE49-F238E27FC236}">
                <a16:creationId xmlns:a16="http://schemas.microsoft.com/office/drawing/2014/main" id="{DCDD1774-8B8D-3CD6-33D1-359FB31C57FB}"/>
              </a:ext>
            </a:extLst>
          </xdr:cNvPr>
          <xdr:cNvSpPr/>
        </xdr:nvSpPr>
        <xdr:spPr>
          <a:xfrm>
            <a:off x="7894997" y="4226460"/>
            <a:ext cx="256746" cy="253224"/>
          </a:xfrm>
          <a:custGeom>
            <a:avLst/>
            <a:gdLst/>
            <a:ahLst/>
            <a:cxnLst/>
            <a:rect l="l" t="t" r="r" b="b"/>
            <a:pathLst>
              <a:path w="253224" h="253224">
                <a:moveTo>
                  <a:pt x="0" y="0"/>
                </a:moveTo>
                <a:lnTo>
                  <a:pt x="253224" y="0"/>
                </a:lnTo>
                <a:lnTo>
                  <a:pt x="253224" y="253224"/>
                </a:lnTo>
                <a:lnTo>
                  <a:pt x="0" y="253224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9">
              <a:extLst>
                <a:ext uri="{96DAC541-7B7A-43D3-8B79-37D633B846F1}">
                  <asvg:svgBlip xmlns:asvg="http://schemas.microsoft.com/office/drawing/2016/SVG/main" r:embed="rId2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28</xdr:col>
      <xdr:colOff>358143</xdr:colOff>
      <xdr:row>3</xdr:row>
      <xdr:rowOff>120734</xdr:rowOff>
    </xdr:from>
    <xdr:to>
      <xdr:col>36</xdr:col>
      <xdr:colOff>111103</xdr:colOff>
      <xdr:row>39</xdr:row>
      <xdr:rowOff>120734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E64C8974-296E-7835-3DF0-9ABCCEDB6D14}"/>
            </a:ext>
          </a:extLst>
        </xdr:cNvPr>
        <xdr:cNvGrpSpPr/>
      </xdr:nvGrpSpPr>
      <xdr:grpSpPr>
        <a:xfrm>
          <a:off x="17503143" y="692234"/>
          <a:ext cx="4651531" cy="6858000"/>
          <a:chOff x="0" y="-47625"/>
          <a:chExt cx="1646138" cy="1520374"/>
        </a:xfrm>
      </xdr:grpSpPr>
      <xdr:sp macro="" textlink="">
        <xdr:nvSpPr>
          <xdr:cNvPr id="108" name="Freeform 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C276ABC7-14E2-180F-1FD3-B804870ABE3B}"/>
              </a:ext>
            </a:extLst>
          </xdr:cNvPr>
          <xdr:cNvSpPr/>
        </xdr:nvSpPr>
        <xdr:spPr>
          <a:xfrm>
            <a:off x="0" y="0"/>
            <a:ext cx="1646138" cy="1236559"/>
          </a:xfrm>
          <a:custGeom>
            <a:avLst/>
            <a:gdLst/>
            <a:ahLst/>
            <a:cxnLst/>
            <a:rect l="l" t="t" r="r" b="b"/>
            <a:pathLst>
              <a:path w="1646138" h="1472749">
                <a:moveTo>
                  <a:pt x="28428" y="0"/>
                </a:moveTo>
                <a:lnTo>
                  <a:pt x="1617710" y="0"/>
                </a:lnTo>
                <a:cubicBezTo>
                  <a:pt x="1633411" y="0"/>
                  <a:pt x="1646138" y="12727"/>
                  <a:pt x="1646138" y="28428"/>
                </a:cubicBezTo>
                <a:lnTo>
                  <a:pt x="1646138" y="1444322"/>
                </a:lnTo>
                <a:cubicBezTo>
                  <a:pt x="1646138" y="1451861"/>
                  <a:pt x="1643143" y="1459092"/>
                  <a:pt x="1637812" y="1464423"/>
                </a:cubicBezTo>
                <a:cubicBezTo>
                  <a:pt x="1632480" y="1469754"/>
                  <a:pt x="1625250" y="1472749"/>
                  <a:pt x="1617710" y="1472749"/>
                </a:cubicBezTo>
                <a:lnTo>
                  <a:pt x="28428" y="1472749"/>
                </a:lnTo>
                <a:cubicBezTo>
                  <a:pt x="12727" y="1472749"/>
                  <a:pt x="0" y="1460022"/>
                  <a:pt x="0" y="1444322"/>
                </a:cubicBezTo>
                <a:lnTo>
                  <a:pt x="0" y="28428"/>
                </a:lnTo>
                <a:cubicBezTo>
                  <a:pt x="0" y="12727"/>
                  <a:pt x="12727" y="0"/>
                  <a:pt x="28428" y="0"/>
                </a:cubicBezTo>
                <a:close/>
              </a:path>
            </a:pathLst>
          </a:custGeom>
          <a:solidFill>
            <a:srgbClr val="FFFFFF"/>
          </a:solidFill>
          <a:ln cap="sq">
            <a:noFill/>
            <a:prstDash val="solid"/>
            <a:miter/>
          </a:ln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09" name="TextBox 30">
            <a:extLst>
              <a:ext uri="{FF2B5EF4-FFF2-40B4-BE49-F238E27FC236}">
                <a16:creationId xmlns:a16="http://schemas.microsoft.com/office/drawing/2014/main" id="{BE296985-0CCE-3991-6360-5AA4C32872E9}"/>
              </a:ext>
            </a:extLst>
          </xdr:cNvPr>
          <xdr:cNvSpPr txBox="1"/>
        </xdr:nvSpPr>
        <xdr:spPr>
          <a:xfrm>
            <a:off x="0" y="-47625"/>
            <a:ext cx="1646138" cy="1520374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</xdr:grpSp>
    <xdr:clientData/>
  </xdr:twoCellAnchor>
  <xdr:twoCellAnchor>
    <xdr:from>
      <xdr:col>35</xdr:col>
      <xdr:colOff>202879</xdr:colOff>
      <xdr:row>7</xdr:row>
      <xdr:rowOff>12858</xdr:rowOff>
    </xdr:from>
    <xdr:to>
      <xdr:col>35</xdr:col>
      <xdr:colOff>296041</xdr:colOff>
      <xdr:row>7</xdr:row>
      <xdr:rowOff>164058</xdr:rowOff>
    </xdr:to>
    <xdr:sp macro="" textlink="">
      <xdr:nvSpPr>
        <xdr:cNvPr id="105" name="Freeform 4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D59A963-2ACB-06AF-66F1-5E12C86C7795}"/>
            </a:ext>
          </a:extLst>
        </xdr:cNvPr>
        <xdr:cNvSpPr/>
      </xdr:nvSpPr>
      <xdr:spPr>
        <a:xfrm>
          <a:off x="21538879" y="1346358"/>
          <a:ext cx="93162" cy="151200"/>
        </a:xfrm>
        <a:custGeom>
          <a:avLst/>
          <a:gdLst/>
          <a:ahLst/>
          <a:cxnLst/>
          <a:rect l="l" t="t" r="r" b="b"/>
          <a:pathLst>
            <a:path w="99896" h="149348">
              <a:moveTo>
                <a:pt x="0" y="0"/>
              </a:moveTo>
              <a:lnTo>
                <a:pt x="99895" y="0"/>
              </a:lnTo>
              <a:lnTo>
                <a:pt x="99895" y="149347"/>
              </a:lnTo>
              <a:lnTo>
                <a:pt x="0" y="149347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30</xdr:col>
      <xdr:colOff>156516</xdr:colOff>
      <xdr:row>6</xdr:row>
      <xdr:rowOff>157576</xdr:rowOff>
    </xdr:from>
    <xdr:to>
      <xdr:col>33</xdr:col>
      <xdr:colOff>44536</xdr:colOff>
      <xdr:row>8</xdr:row>
      <xdr:rowOff>33057</xdr:rowOff>
    </xdr:to>
    <xdr:sp macro="" textlink="">
      <xdr:nvSpPr>
        <xdr:cNvPr id="107" name="TextBox 87">
          <a:extLst>
            <a:ext uri="{FF2B5EF4-FFF2-40B4-BE49-F238E27FC236}">
              <a16:creationId xmlns:a16="http://schemas.microsoft.com/office/drawing/2014/main" id="{23C03133-522E-D3D1-0821-709291C8DAE3}"/>
            </a:ext>
          </a:extLst>
        </xdr:cNvPr>
        <xdr:cNvSpPr txBox="1"/>
      </xdr:nvSpPr>
      <xdr:spPr>
        <a:xfrm>
          <a:off x="18444516" y="1300576"/>
          <a:ext cx="1716820" cy="25648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Hours</a:t>
          </a:r>
          <a:r>
            <a:rPr lang="en-US" sz="1400" b="1" baseline="0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 Operated</a:t>
          </a:r>
          <a:endParaRPr lang="en-US" sz="1400" b="1">
            <a:solidFill>
              <a:srgbClr val="252525"/>
            </a:solidFill>
            <a:latin typeface="Poppins Medium"/>
            <a:ea typeface="Poppins Medium"/>
            <a:cs typeface="Poppins Medium"/>
            <a:sym typeface="Poppins Medium"/>
          </a:endParaRPr>
        </a:p>
      </xdr:txBody>
    </xdr:sp>
    <xdr:clientData/>
  </xdr:twoCellAnchor>
  <xdr:twoCellAnchor>
    <xdr:from>
      <xdr:col>13</xdr:col>
      <xdr:colOff>122464</xdr:colOff>
      <xdr:row>21</xdr:row>
      <xdr:rowOff>132755</xdr:rowOff>
    </xdr:from>
    <xdr:to>
      <xdr:col>18</xdr:col>
      <xdr:colOff>552450</xdr:colOff>
      <xdr:row>24</xdr:row>
      <xdr:rowOff>95250</xdr:rowOff>
    </xdr:to>
    <xdr:sp macro="" textlink="">
      <xdr:nvSpPr>
        <xdr:cNvPr id="110" name="TextBox 103">
          <a:extLst>
            <a:ext uri="{FF2B5EF4-FFF2-40B4-BE49-F238E27FC236}">
              <a16:creationId xmlns:a16="http://schemas.microsoft.com/office/drawing/2014/main" id="{451EB595-11CC-4EFB-A060-D6EF09F3F098}"/>
            </a:ext>
          </a:extLst>
        </xdr:cNvPr>
        <xdr:cNvSpPr txBox="1"/>
      </xdr:nvSpPr>
      <xdr:spPr>
        <a:xfrm>
          <a:off x="8047264" y="4133255"/>
          <a:ext cx="3477986" cy="533995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EXPRESS TRANSPORTATION SERVICES, LLC</a:t>
          </a:r>
        </a:p>
      </xdr:txBody>
    </xdr:sp>
    <xdr:clientData/>
  </xdr:twoCellAnchor>
  <xdr:twoCellAnchor>
    <xdr:from>
      <xdr:col>13</xdr:col>
      <xdr:colOff>370942</xdr:colOff>
      <xdr:row>25</xdr:row>
      <xdr:rowOff>8930</xdr:rowOff>
    </xdr:from>
    <xdr:to>
      <xdr:col>17</xdr:col>
      <xdr:colOff>66261</xdr:colOff>
      <xdr:row>26</xdr:row>
      <xdr:rowOff>41408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DFAE4DC6-3B63-436F-B2F5-12A9863C52A1}"/>
            </a:ext>
          </a:extLst>
        </xdr:cNvPr>
        <xdr:cNvGrpSpPr/>
      </xdr:nvGrpSpPr>
      <xdr:grpSpPr>
        <a:xfrm>
          <a:off x="8331121" y="4771430"/>
          <a:ext cx="2144604" cy="222978"/>
          <a:chOff x="8338812" y="4730017"/>
          <a:chExt cx="2146971" cy="222978"/>
        </a:xfrm>
      </xdr:grpSpPr>
      <xdr:sp macro="" textlink="">
        <xdr:nvSpPr>
          <xdr:cNvPr id="112" name="TextBox 107">
            <a:extLst>
              <a:ext uri="{FF2B5EF4-FFF2-40B4-BE49-F238E27FC236}">
                <a16:creationId xmlns:a16="http://schemas.microsoft.com/office/drawing/2014/main" id="{44B877E6-3801-3F4D-FED1-EF4526827545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BANKS, LENARD </a:t>
            </a:r>
          </a:p>
        </xdr:txBody>
      </xdr:sp>
      <xdr:sp macro="" textlink="">
        <xdr:nvSpPr>
          <xdr:cNvPr id="113" name="TextBox 107">
            <a:extLst>
              <a:ext uri="{FF2B5EF4-FFF2-40B4-BE49-F238E27FC236}">
                <a16:creationId xmlns:a16="http://schemas.microsoft.com/office/drawing/2014/main" id="{FFFCEC5D-D3C2-5563-25D6-BB1CD2CCD231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  <xdr:twoCellAnchor>
    <xdr:from>
      <xdr:col>13</xdr:col>
      <xdr:colOff>365973</xdr:colOff>
      <xdr:row>26</xdr:row>
      <xdr:rowOff>153048</xdr:rowOff>
    </xdr:from>
    <xdr:to>
      <xdr:col>17</xdr:col>
      <xdr:colOff>216777</xdr:colOff>
      <xdr:row>27</xdr:row>
      <xdr:rowOff>185526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47518B51-3203-4BF7-9FB5-4BED34029F7B}"/>
            </a:ext>
          </a:extLst>
        </xdr:cNvPr>
        <xdr:cNvGrpSpPr/>
      </xdr:nvGrpSpPr>
      <xdr:grpSpPr>
        <a:xfrm>
          <a:off x="8326152" y="5106048"/>
          <a:ext cx="2300089" cy="222978"/>
          <a:chOff x="8338812" y="4730017"/>
          <a:chExt cx="2303037" cy="222978"/>
        </a:xfrm>
      </xdr:grpSpPr>
      <xdr:sp macro="" textlink="">
        <xdr:nvSpPr>
          <xdr:cNvPr id="115" name="TextBox 107">
            <a:extLst>
              <a:ext uri="{FF2B5EF4-FFF2-40B4-BE49-F238E27FC236}">
                <a16:creationId xmlns:a16="http://schemas.microsoft.com/office/drawing/2014/main" id="{BBB11555-C596-EA06-A536-3381CD34A4D0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ts val="1679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38B6FF"/>
                </a:solidFill>
                <a:effectLst/>
                <a:uLnTx/>
                <a:uFillTx/>
                <a:latin typeface="Poppins"/>
                <a:ea typeface="Poppins"/>
                <a:cs typeface="Poppins"/>
                <a:sym typeface="Poppins"/>
              </a:rPr>
              <a:t>GIBBS, SAMUEL</a:t>
            </a:r>
          </a:p>
        </xdr:txBody>
      </xdr:sp>
      <xdr:sp macro="" textlink="">
        <xdr:nvSpPr>
          <xdr:cNvPr id="116" name="TextBox 107">
            <a:extLst>
              <a:ext uri="{FF2B5EF4-FFF2-40B4-BE49-F238E27FC236}">
                <a16:creationId xmlns:a16="http://schemas.microsoft.com/office/drawing/2014/main" id="{0320B898-FB7E-57D4-451B-7A52BF471CDC}"/>
              </a:ext>
            </a:extLst>
          </xdr:cNvPr>
          <xdr:cNvSpPr txBox="1"/>
        </xdr:nvSpPr>
        <xdr:spPr>
          <a:xfrm>
            <a:off x="9849560" y="4730017"/>
            <a:ext cx="792289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FF0000"/>
                </a:solidFill>
                <a:latin typeface="Poppins"/>
                <a:ea typeface="Poppins"/>
                <a:cs typeface="Poppins"/>
                <a:sym typeface="Poppins"/>
              </a:rPr>
              <a:t>Removed</a:t>
            </a:r>
          </a:p>
        </xdr:txBody>
      </xdr:sp>
    </xdr:grpSp>
    <xdr:clientData/>
  </xdr:twoCellAnchor>
  <xdr:twoCellAnchor>
    <xdr:from>
      <xdr:col>29</xdr:col>
      <xdr:colOff>14820</xdr:colOff>
      <xdr:row>5</xdr:row>
      <xdr:rowOff>184510</xdr:rowOff>
    </xdr:from>
    <xdr:to>
      <xdr:col>29</xdr:col>
      <xdr:colOff>598511</xdr:colOff>
      <xdr:row>9</xdr:row>
      <xdr:rowOff>2894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2F78A28A-4EE7-460A-AAE8-09783BE329D3}"/>
            </a:ext>
          </a:extLst>
        </xdr:cNvPr>
        <xdr:cNvGrpSpPr/>
      </xdr:nvGrpSpPr>
      <xdr:grpSpPr>
        <a:xfrm>
          <a:off x="17772141" y="1137010"/>
          <a:ext cx="583691" cy="580384"/>
          <a:chOff x="17272862" y="673184"/>
          <a:chExt cx="575896" cy="580384"/>
        </a:xfrm>
      </xdr:grpSpPr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CCF1B59E-EBFB-5288-E71F-9B859E9E75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/>
          <a:stretch>
            <a:fillRect/>
          </a:stretch>
        </xdr:blipFill>
        <xdr:spPr>
          <a:xfrm>
            <a:off x="17272862" y="673184"/>
            <a:ext cx="575896" cy="580384"/>
          </a:xfrm>
          <a:prstGeom prst="rect">
            <a:avLst/>
          </a:prstGeom>
        </xdr:spPr>
      </xdr:pic>
      <xdr:sp macro="" textlink="">
        <xdr:nvSpPr>
          <xdr:cNvPr id="136" name="Freeform 38">
            <a:extLst>
              <a:ext uri="{FF2B5EF4-FFF2-40B4-BE49-F238E27FC236}">
                <a16:creationId xmlns:a16="http://schemas.microsoft.com/office/drawing/2014/main" id="{79BF84BE-093C-DD75-6039-8A6C8D1C1670}"/>
              </a:ext>
            </a:extLst>
          </xdr:cNvPr>
          <xdr:cNvSpPr/>
        </xdr:nvSpPr>
        <xdr:spPr>
          <a:xfrm>
            <a:off x="17371446" y="772018"/>
            <a:ext cx="378727" cy="382714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37" name="Freeform 82">
            <a:extLst>
              <a:ext uri="{FF2B5EF4-FFF2-40B4-BE49-F238E27FC236}">
                <a16:creationId xmlns:a16="http://schemas.microsoft.com/office/drawing/2014/main" id="{AC7F4828-353F-D630-90EF-F280FD15D00C}"/>
              </a:ext>
            </a:extLst>
          </xdr:cNvPr>
          <xdr:cNvSpPr/>
        </xdr:nvSpPr>
        <xdr:spPr>
          <a:xfrm>
            <a:off x="17455309" y="852781"/>
            <a:ext cx="217664" cy="221189"/>
          </a:xfrm>
          <a:custGeom>
            <a:avLst/>
            <a:gdLst/>
            <a:ahLst/>
            <a:cxnLst/>
            <a:rect l="l" t="t" r="r" b="b"/>
            <a:pathLst>
              <a:path w="218217" h="221189">
                <a:moveTo>
                  <a:pt x="0" y="0"/>
                </a:moveTo>
                <a:lnTo>
                  <a:pt x="218216" y="0"/>
                </a:lnTo>
                <a:lnTo>
                  <a:pt x="218216" y="221189"/>
                </a:lnTo>
                <a:lnTo>
                  <a:pt x="0" y="22118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23">
              <a:extLst>
                <a:ext uri="{96DAC541-7B7A-43D3-8B79-37D633B846F1}">
                  <asvg:svgBlip xmlns:asvg="http://schemas.microsoft.com/office/drawing/2016/SVG/main" r:embed="rId24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3</xdr:col>
      <xdr:colOff>523875</xdr:colOff>
      <xdr:row>16</xdr:row>
      <xdr:rowOff>37505</xdr:rowOff>
    </xdr:from>
    <xdr:to>
      <xdr:col>11</xdr:col>
      <xdr:colOff>276838</xdr:colOff>
      <xdr:row>38</xdr:row>
      <xdr:rowOff>122558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04945A4C-2CA1-5D64-1DF3-5342903256FB}"/>
            </a:ext>
          </a:extLst>
        </xdr:cNvPr>
        <xdr:cNvGrpSpPr/>
      </xdr:nvGrpSpPr>
      <xdr:grpSpPr>
        <a:xfrm>
          <a:off x="2360839" y="3085505"/>
          <a:ext cx="4651535" cy="4276053"/>
          <a:chOff x="2348279" y="3085505"/>
          <a:chExt cx="4618040" cy="4276053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86CC0D8B-992D-421E-898E-3FFD06BA1495}"/>
              </a:ext>
            </a:extLst>
          </xdr:cNvPr>
          <xdr:cNvGrpSpPr/>
        </xdr:nvGrpSpPr>
        <xdr:grpSpPr>
          <a:xfrm>
            <a:off x="2348279" y="3085505"/>
            <a:ext cx="4618040" cy="4276053"/>
            <a:chOff x="2190750" y="2647355"/>
            <a:chExt cx="4629763" cy="4276053"/>
          </a:xfrm>
        </xdr:grpSpPr>
        <xdr:grpSp>
          <xdr:nvGrpSpPr>
            <xdr:cNvPr id="56" name="Group 55">
              <a:extLst>
                <a:ext uri="{FF2B5EF4-FFF2-40B4-BE49-F238E27FC236}">
                  <a16:creationId xmlns:a16="http://schemas.microsoft.com/office/drawing/2014/main" id="{01E86EDB-955D-6C2B-E574-946A12B56E8E}"/>
                </a:ext>
              </a:extLst>
            </xdr:cNvPr>
            <xdr:cNvGrpSpPr/>
          </xdr:nvGrpSpPr>
          <xdr:grpSpPr>
            <a:xfrm>
              <a:off x="2190750" y="2647355"/>
              <a:ext cx="4629763" cy="4276053"/>
              <a:chOff x="2162175" y="2771180"/>
              <a:chExt cx="4629763" cy="4276053"/>
            </a:xfrm>
          </xdr:grpSpPr>
          <xdr:grpSp>
            <xdr:nvGrpSpPr>
              <xdr:cNvPr id="58" name="Group 57">
                <a:extLst>
                  <a:ext uri="{FF2B5EF4-FFF2-40B4-BE49-F238E27FC236}">
                    <a16:creationId xmlns:a16="http://schemas.microsoft.com/office/drawing/2014/main" id="{B31FCE51-C5AB-B5DA-28BB-8F43F149885F}"/>
                  </a:ext>
                </a:extLst>
              </xdr:cNvPr>
              <xdr:cNvGrpSpPr/>
            </xdr:nvGrpSpPr>
            <xdr:grpSpPr>
              <a:xfrm>
                <a:off x="2162175" y="2771180"/>
                <a:ext cx="4629763" cy="4276053"/>
                <a:chOff x="0" y="-47625"/>
                <a:chExt cx="1646138" cy="1520374"/>
              </a:xfrm>
            </xdr:grpSpPr>
            <xdr:sp macro="" textlink="">
              <xdr:nvSpPr>
                <xdr:cNvPr id="94" name="Freeform 29">
                  <a:extLst>
                    <a:ext uri="{FF2B5EF4-FFF2-40B4-BE49-F238E27FC236}">
                      <a16:creationId xmlns:a16="http://schemas.microsoft.com/office/drawing/2014/main" id="{74EC0068-41F1-5C85-D25E-B984DA59E56F}"/>
                    </a:ext>
                  </a:extLst>
                </xdr:cNvPr>
                <xdr:cNvSpPr/>
              </xdr:nvSpPr>
              <xdr:spPr>
                <a:xfrm>
                  <a:off x="0" y="0"/>
                  <a:ext cx="1646138" cy="1368213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646138" h="1472749">
                      <a:moveTo>
                        <a:pt x="28428" y="0"/>
                      </a:moveTo>
                      <a:lnTo>
                        <a:pt x="1617710" y="0"/>
                      </a:lnTo>
                      <a:cubicBezTo>
                        <a:pt x="1633411" y="0"/>
                        <a:pt x="1646138" y="12727"/>
                        <a:pt x="1646138" y="28428"/>
                      </a:cubicBezTo>
                      <a:lnTo>
                        <a:pt x="1646138" y="1444322"/>
                      </a:lnTo>
                      <a:cubicBezTo>
                        <a:pt x="1646138" y="1451861"/>
                        <a:pt x="1643143" y="1459092"/>
                        <a:pt x="1637812" y="1464423"/>
                      </a:cubicBezTo>
                      <a:cubicBezTo>
                        <a:pt x="1632480" y="1469754"/>
                        <a:pt x="1625250" y="1472749"/>
                        <a:pt x="1617710" y="1472749"/>
                      </a:cubicBezTo>
                      <a:lnTo>
                        <a:pt x="28428" y="1472749"/>
                      </a:lnTo>
                      <a:cubicBezTo>
                        <a:pt x="12727" y="1472749"/>
                        <a:pt x="0" y="1460022"/>
                        <a:pt x="0" y="1444322"/>
                      </a:cubicBezTo>
                      <a:lnTo>
                        <a:pt x="0" y="28428"/>
                      </a:lnTo>
                      <a:cubicBezTo>
                        <a:pt x="0" y="12727"/>
                        <a:pt x="12727" y="0"/>
                        <a:pt x="28428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95" name="TextBox 30">
                  <a:extLst>
                    <a:ext uri="{FF2B5EF4-FFF2-40B4-BE49-F238E27FC236}">
                      <a16:creationId xmlns:a16="http://schemas.microsoft.com/office/drawing/2014/main" id="{2ADAC919-8322-DB5F-C69D-81C41F895027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646138" cy="1520374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F6EB650D-DEA6-4DC1-ECE2-D5F85BCE087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8"/>
              <a:stretch>
                <a:fillRect/>
              </a:stretch>
            </xdr:blipFill>
            <xdr:spPr>
              <a:xfrm>
                <a:off x="2449748" y="3737641"/>
                <a:ext cx="579378" cy="579378"/>
              </a:xfrm>
              <a:prstGeom prst="rect">
                <a:avLst/>
              </a:prstGeom>
            </xdr:spPr>
          </xdr:pic>
          <xdr:grpSp>
            <xdr:nvGrpSpPr>
              <xdr:cNvPr id="60" name="Group 59">
                <a:extLst>
                  <a:ext uri="{FF2B5EF4-FFF2-40B4-BE49-F238E27FC236}">
                    <a16:creationId xmlns:a16="http://schemas.microsoft.com/office/drawing/2014/main" id="{971D2469-B3DB-2B53-D9F8-136785C1781D}"/>
                  </a:ext>
                </a:extLst>
              </xdr:cNvPr>
              <xdr:cNvGrpSpPr/>
            </xdr:nvGrpSpPr>
            <xdr:grpSpPr>
              <a:xfrm>
                <a:off x="2548412" y="3836305"/>
                <a:ext cx="382051" cy="382051"/>
                <a:chOff x="0" y="0"/>
                <a:chExt cx="812800" cy="812800"/>
              </a:xfrm>
            </xdr:grpSpPr>
            <xdr:sp macro="" textlink="">
              <xdr:nvSpPr>
                <xdr:cNvPr id="92" name="Freeform 33">
                  <a:extLst>
                    <a:ext uri="{FF2B5EF4-FFF2-40B4-BE49-F238E27FC236}">
                      <a16:creationId xmlns:a16="http://schemas.microsoft.com/office/drawing/2014/main" id="{C0561FCA-453A-8199-F794-4E5DB01E07FC}"/>
                    </a:ext>
                  </a:extLst>
                </xdr:cNvPr>
                <xdr:cNvSpPr/>
              </xdr:nvSpPr>
              <xdr:spPr>
                <a:xfrm>
                  <a:off x="0" y="0"/>
                  <a:ext cx="812800" cy="8128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812800" h="812800">
                      <a:moveTo>
                        <a:pt x="406400" y="0"/>
                      </a:moveTo>
                      <a:cubicBezTo>
                        <a:pt x="181951" y="0"/>
                        <a:pt x="0" y="181951"/>
                        <a:pt x="0" y="406400"/>
                      </a:cubicBezTo>
                      <a:cubicBezTo>
                        <a:pt x="0" y="630849"/>
                        <a:pt x="181951" y="812800"/>
                        <a:pt x="406400" y="812800"/>
                      </a:cubicBezTo>
                      <a:cubicBezTo>
                        <a:pt x="630849" y="812800"/>
                        <a:pt x="812800" y="630849"/>
                        <a:pt x="812800" y="406400"/>
                      </a:cubicBezTo>
                      <a:cubicBezTo>
                        <a:pt x="812800" y="181951"/>
                        <a:pt x="630849" y="0"/>
                        <a:pt x="406400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93" name="TextBox 34">
                  <a:extLst>
                    <a:ext uri="{FF2B5EF4-FFF2-40B4-BE49-F238E27FC236}">
                      <a16:creationId xmlns:a16="http://schemas.microsoft.com/office/drawing/2014/main" id="{0933486F-FC8A-C813-115B-C5A1DBBD790E}"/>
                    </a:ext>
                  </a:extLst>
                </xdr:cNvPr>
                <xdr:cNvSpPr txBox="1"/>
              </xdr:nvSpPr>
              <xdr:spPr>
                <a:xfrm>
                  <a:off x="76200" y="28575"/>
                  <a:ext cx="660400" cy="708025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61" name="Freeform 35">
                <a:extLst>
                  <a:ext uri="{FF2B5EF4-FFF2-40B4-BE49-F238E27FC236}">
                    <a16:creationId xmlns:a16="http://schemas.microsoft.com/office/drawing/2014/main" id="{D62D3E95-CFD5-F48A-F9B6-1FE9E386E800}"/>
                  </a:ext>
                </a:extLst>
              </xdr:cNvPr>
              <xdr:cNvSpPr/>
            </xdr:nvSpPr>
            <xdr:spPr>
              <a:xfrm>
                <a:off x="6154879" y="3848352"/>
                <a:ext cx="239576" cy="143745"/>
              </a:xfrm>
              <a:custGeom>
                <a:avLst/>
                <a:gdLst/>
                <a:ahLst/>
                <a:cxnLst/>
                <a:rect l="l" t="t" r="r" b="b"/>
                <a:pathLst>
                  <a:path w="239576" h="143745">
                    <a:moveTo>
                      <a:pt x="0" y="0"/>
                    </a:moveTo>
                    <a:lnTo>
                      <a:pt x="239576" y="0"/>
                    </a:lnTo>
                    <a:lnTo>
                      <a:pt x="239576" y="143746"/>
                    </a:lnTo>
                    <a:lnTo>
                      <a:pt x="0" y="143746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4">
                  <a:extLst>
                    <a:ext uri="{96DAC541-7B7A-43D3-8B79-37D633B846F1}">
                      <asvg:svgBlip xmlns:asvg="http://schemas.microsoft.com/office/drawing/2016/SVG/main" r:embed="rId5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pic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B2129B0C-1B63-11F9-96B2-E0794AC44AB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2"/>
              <a:stretch>
                <a:fillRect/>
              </a:stretch>
            </xdr:blipFill>
            <xdr:spPr>
              <a:xfrm>
                <a:off x="2447839" y="4450156"/>
                <a:ext cx="580384" cy="580384"/>
              </a:xfrm>
              <a:prstGeom prst="rect">
                <a:avLst/>
              </a:prstGeom>
            </xdr:spPr>
          </xdr:pic>
          <xdr:grpSp>
            <xdr:nvGrpSpPr>
              <xdr:cNvPr id="63" name="Group 62">
                <a:extLst>
                  <a:ext uri="{FF2B5EF4-FFF2-40B4-BE49-F238E27FC236}">
                    <a16:creationId xmlns:a16="http://schemas.microsoft.com/office/drawing/2014/main" id="{08B49183-FB7D-BF35-99DC-2CF073670522}"/>
                  </a:ext>
                </a:extLst>
              </xdr:cNvPr>
              <xdr:cNvGrpSpPr/>
            </xdr:nvGrpSpPr>
            <xdr:grpSpPr>
              <a:xfrm>
                <a:off x="2546674" y="4548990"/>
                <a:ext cx="382714" cy="382714"/>
                <a:chOff x="0" y="0"/>
                <a:chExt cx="812800" cy="812800"/>
              </a:xfrm>
            </xdr:grpSpPr>
            <xdr:sp macro="" textlink="">
              <xdr:nvSpPr>
                <xdr:cNvPr id="90" name="Freeform 38">
                  <a:extLst>
                    <a:ext uri="{FF2B5EF4-FFF2-40B4-BE49-F238E27FC236}">
                      <a16:creationId xmlns:a16="http://schemas.microsoft.com/office/drawing/2014/main" id="{C5BA0982-34FF-6162-5E76-12D1A03D11BC}"/>
                    </a:ext>
                  </a:extLst>
                </xdr:cNvPr>
                <xdr:cNvSpPr/>
              </xdr:nvSpPr>
              <xdr:spPr>
                <a:xfrm>
                  <a:off x="0" y="0"/>
                  <a:ext cx="812800" cy="8128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812800" h="812800">
                      <a:moveTo>
                        <a:pt x="406400" y="0"/>
                      </a:moveTo>
                      <a:cubicBezTo>
                        <a:pt x="181951" y="0"/>
                        <a:pt x="0" y="181951"/>
                        <a:pt x="0" y="406400"/>
                      </a:cubicBezTo>
                      <a:cubicBezTo>
                        <a:pt x="0" y="630849"/>
                        <a:pt x="181951" y="812800"/>
                        <a:pt x="406400" y="812800"/>
                      </a:cubicBezTo>
                      <a:cubicBezTo>
                        <a:pt x="630849" y="812800"/>
                        <a:pt x="812800" y="630849"/>
                        <a:pt x="812800" y="406400"/>
                      </a:cubicBezTo>
                      <a:cubicBezTo>
                        <a:pt x="812800" y="181951"/>
                        <a:pt x="630849" y="0"/>
                        <a:pt x="406400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91" name="TextBox 39">
                  <a:extLst>
                    <a:ext uri="{FF2B5EF4-FFF2-40B4-BE49-F238E27FC236}">
                      <a16:creationId xmlns:a16="http://schemas.microsoft.com/office/drawing/2014/main" id="{CA3C5829-0EB5-C257-341C-F42353A04429}"/>
                    </a:ext>
                  </a:extLst>
                </xdr:cNvPr>
                <xdr:cNvSpPr txBox="1"/>
              </xdr:nvSpPr>
              <xdr:spPr>
                <a:xfrm>
                  <a:off x="76200" y="28575"/>
                  <a:ext cx="660400" cy="708025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pic>
            <xdr:nvPicPr>
              <xdr:cNvPr id="64" name="Picture 63">
                <a:extLst>
                  <a:ext uri="{FF2B5EF4-FFF2-40B4-BE49-F238E27FC236}">
                    <a16:creationId xmlns:a16="http://schemas.microsoft.com/office/drawing/2014/main" id="{B8911E54-A50E-8DD1-6FC3-DD72EDAF8BF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5"/>
              <a:stretch>
                <a:fillRect/>
              </a:stretch>
            </xdr:blipFill>
            <xdr:spPr>
              <a:xfrm>
                <a:off x="2449665" y="5162409"/>
                <a:ext cx="580384" cy="580384"/>
              </a:xfrm>
              <a:prstGeom prst="rect">
                <a:avLst/>
              </a:prstGeom>
            </xdr:spPr>
          </xdr:pic>
          <xdr:grpSp>
            <xdr:nvGrpSpPr>
              <xdr:cNvPr id="65" name="Group 64">
                <a:extLst>
                  <a:ext uri="{FF2B5EF4-FFF2-40B4-BE49-F238E27FC236}">
                    <a16:creationId xmlns:a16="http://schemas.microsoft.com/office/drawing/2014/main" id="{40F96EA5-D089-7BB9-638E-CA360BB557B8}"/>
                  </a:ext>
                </a:extLst>
              </xdr:cNvPr>
              <xdr:cNvGrpSpPr/>
            </xdr:nvGrpSpPr>
            <xdr:grpSpPr>
              <a:xfrm>
                <a:off x="2548500" y="5261244"/>
                <a:ext cx="382714" cy="382714"/>
                <a:chOff x="0" y="0"/>
                <a:chExt cx="812800" cy="812800"/>
              </a:xfrm>
            </xdr:grpSpPr>
            <xdr:sp macro="" textlink="">
              <xdr:nvSpPr>
                <xdr:cNvPr id="88" name="Freeform 43">
                  <a:extLst>
                    <a:ext uri="{FF2B5EF4-FFF2-40B4-BE49-F238E27FC236}">
                      <a16:creationId xmlns:a16="http://schemas.microsoft.com/office/drawing/2014/main" id="{C8F0E3CD-286B-842E-6228-AF0BF848CCC9}"/>
                    </a:ext>
                  </a:extLst>
                </xdr:cNvPr>
                <xdr:cNvSpPr/>
              </xdr:nvSpPr>
              <xdr:spPr>
                <a:xfrm>
                  <a:off x="0" y="0"/>
                  <a:ext cx="812800" cy="8128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812800" h="812800">
                      <a:moveTo>
                        <a:pt x="406400" y="0"/>
                      </a:moveTo>
                      <a:cubicBezTo>
                        <a:pt x="181951" y="0"/>
                        <a:pt x="0" y="181951"/>
                        <a:pt x="0" y="406400"/>
                      </a:cubicBezTo>
                      <a:cubicBezTo>
                        <a:pt x="0" y="630849"/>
                        <a:pt x="181951" y="812800"/>
                        <a:pt x="406400" y="812800"/>
                      </a:cubicBezTo>
                      <a:cubicBezTo>
                        <a:pt x="630849" y="812800"/>
                        <a:pt x="812800" y="630849"/>
                        <a:pt x="812800" y="406400"/>
                      </a:cubicBezTo>
                      <a:cubicBezTo>
                        <a:pt x="812800" y="181951"/>
                        <a:pt x="630849" y="0"/>
                        <a:pt x="406400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89" name="TextBox 44">
                  <a:extLst>
                    <a:ext uri="{FF2B5EF4-FFF2-40B4-BE49-F238E27FC236}">
                      <a16:creationId xmlns:a16="http://schemas.microsoft.com/office/drawing/2014/main" id="{58F2F469-666A-BD96-2A65-11F9E6A01FFB}"/>
                    </a:ext>
                  </a:extLst>
                </xdr:cNvPr>
                <xdr:cNvSpPr txBox="1"/>
              </xdr:nvSpPr>
              <xdr:spPr>
                <a:xfrm>
                  <a:off x="76200" y="28575"/>
                  <a:ext cx="660400" cy="708025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66" name="Freeform 46">
                <a:hlinkClick xmlns:r="http://schemas.openxmlformats.org/officeDocument/2006/relationships" r:id="rId13"/>
                <a:extLst>
                  <a:ext uri="{FF2B5EF4-FFF2-40B4-BE49-F238E27FC236}">
                    <a16:creationId xmlns:a16="http://schemas.microsoft.com/office/drawing/2014/main" id="{6348DBF4-E97E-D3BE-B022-2868B9A19815}"/>
                  </a:ext>
                </a:extLst>
              </xdr:cNvPr>
              <xdr:cNvSpPr/>
            </xdr:nvSpPr>
            <xdr:spPr>
              <a:xfrm>
                <a:off x="6359839" y="3267421"/>
                <a:ext cx="99896" cy="149348"/>
              </a:xfrm>
              <a:custGeom>
                <a:avLst/>
                <a:gdLst/>
                <a:ahLst/>
                <a:cxnLst/>
                <a:rect l="l" t="t" r="r" b="b"/>
                <a:pathLst>
                  <a:path w="99896" h="149348">
                    <a:moveTo>
                      <a:pt x="0" y="0"/>
                    </a:moveTo>
                    <a:lnTo>
                      <a:pt x="99895" y="0"/>
                    </a:lnTo>
                    <a:lnTo>
                      <a:pt x="99895" y="149347"/>
                    </a:lnTo>
                    <a:lnTo>
                      <a:pt x="0" y="149347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11">
                  <a:extLst>
                    <a:ext uri="{96DAC541-7B7A-43D3-8B79-37D633B846F1}">
                      <asvg:svgBlip xmlns:asvg="http://schemas.microsoft.com/office/drawing/2016/SVG/main" r:embed="rId12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pic>
            <xdr:nvPicPr>
              <xdr:cNvPr id="67" name="Picture 66">
                <a:extLst>
                  <a:ext uri="{FF2B5EF4-FFF2-40B4-BE49-F238E27FC236}">
                    <a16:creationId xmlns:a16="http://schemas.microsoft.com/office/drawing/2014/main" id="{F01C8AB0-2263-7179-478D-4CEE6B44A47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6"/>
              <a:stretch>
                <a:fillRect/>
              </a:stretch>
            </xdr:blipFill>
            <xdr:spPr>
              <a:xfrm>
                <a:off x="2447922" y="5874747"/>
                <a:ext cx="579378" cy="579378"/>
              </a:xfrm>
              <a:prstGeom prst="rect">
                <a:avLst/>
              </a:prstGeom>
            </xdr:spPr>
          </xdr:pic>
          <xdr:grpSp>
            <xdr:nvGrpSpPr>
              <xdr:cNvPr id="68" name="Group 67">
                <a:extLst>
                  <a:ext uri="{FF2B5EF4-FFF2-40B4-BE49-F238E27FC236}">
                    <a16:creationId xmlns:a16="http://schemas.microsoft.com/office/drawing/2014/main" id="{498F2A33-80A6-4D96-5FAC-D6C687AC9E85}"/>
                  </a:ext>
                </a:extLst>
              </xdr:cNvPr>
              <xdr:cNvGrpSpPr/>
            </xdr:nvGrpSpPr>
            <xdr:grpSpPr>
              <a:xfrm>
                <a:off x="2546586" y="5973410"/>
                <a:ext cx="382051" cy="382051"/>
                <a:chOff x="0" y="0"/>
                <a:chExt cx="812800" cy="812800"/>
              </a:xfrm>
            </xdr:grpSpPr>
            <xdr:sp macro="" textlink="">
              <xdr:nvSpPr>
                <xdr:cNvPr id="86" name="Freeform 79">
                  <a:extLst>
                    <a:ext uri="{FF2B5EF4-FFF2-40B4-BE49-F238E27FC236}">
                      <a16:creationId xmlns:a16="http://schemas.microsoft.com/office/drawing/2014/main" id="{3D98D4DA-0E35-BBB3-C54C-8C5EA2412D1B}"/>
                    </a:ext>
                  </a:extLst>
                </xdr:cNvPr>
                <xdr:cNvSpPr/>
              </xdr:nvSpPr>
              <xdr:spPr>
                <a:xfrm>
                  <a:off x="0" y="0"/>
                  <a:ext cx="812800" cy="8128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812800" h="812800">
                      <a:moveTo>
                        <a:pt x="406400" y="0"/>
                      </a:moveTo>
                      <a:cubicBezTo>
                        <a:pt x="181951" y="0"/>
                        <a:pt x="0" y="181951"/>
                        <a:pt x="0" y="406400"/>
                      </a:cubicBezTo>
                      <a:cubicBezTo>
                        <a:pt x="0" y="630849"/>
                        <a:pt x="181951" y="812800"/>
                        <a:pt x="406400" y="812800"/>
                      </a:cubicBezTo>
                      <a:cubicBezTo>
                        <a:pt x="630849" y="812800"/>
                        <a:pt x="812800" y="630849"/>
                        <a:pt x="812800" y="406400"/>
                      </a:cubicBezTo>
                      <a:cubicBezTo>
                        <a:pt x="812800" y="181951"/>
                        <a:pt x="630849" y="0"/>
                        <a:pt x="406400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87" name="TextBox 80">
                  <a:extLst>
                    <a:ext uri="{FF2B5EF4-FFF2-40B4-BE49-F238E27FC236}">
                      <a16:creationId xmlns:a16="http://schemas.microsoft.com/office/drawing/2014/main" id="{F20BB998-1481-A059-31BB-84A3371A04CF}"/>
                    </a:ext>
                  </a:extLst>
                </xdr:cNvPr>
                <xdr:cNvSpPr txBox="1"/>
              </xdr:nvSpPr>
              <xdr:spPr>
                <a:xfrm>
                  <a:off x="76200" y="28575"/>
                  <a:ext cx="660400" cy="708025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69" name="Freeform 81">
                <a:extLst>
                  <a:ext uri="{FF2B5EF4-FFF2-40B4-BE49-F238E27FC236}">
                    <a16:creationId xmlns:a16="http://schemas.microsoft.com/office/drawing/2014/main" id="{51D17D12-F569-82E9-BAC4-6A66E5DD8F40}"/>
                  </a:ext>
                </a:extLst>
              </xdr:cNvPr>
              <xdr:cNvSpPr/>
            </xdr:nvSpPr>
            <xdr:spPr>
              <a:xfrm>
                <a:off x="2655641" y="3911370"/>
                <a:ext cx="168433" cy="231921"/>
              </a:xfrm>
              <a:custGeom>
                <a:avLst/>
                <a:gdLst/>
                <a:ahLst/>
                <a:cxnLst/>
                <a:rect l="l" t="t" r="r" b="b"/>
                <a:pathLst>
                  <a:path w="168433" h="231921">
                    <a:moveTo>
                      <a:pt x="0" y="0"/>
                    </a:moveTo>
                    <a:lnTo>
                      <a:pt x="168432" y="0"/>
                    </a:lnTo>
                    <a:lnTo>
                      <a:pt x="168432" y="231921"/>
                    </a:lnTo>
                    <a:lnTo>
                      <a:pt x="0" y="231921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27">
                  <a:extLst>
                    <a:ext uri="{96DAC541-7B7A-43D3-8B79-37D633B846F1}">
                      <asvg:svgBlip xmlns:asvg="http://schemas.microsoft.com/office/drawing/2016/SVG/main" r:embed="rId28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70" name="Freeform 82">
                <a:extLst>
                  <a:ext uri="{FF2B5EF4-FFF2-40B4-BE49-F238E27FC236}">
                    <a16:creationId xmlns:a16="http://schemas.microsoft.com/office/drawing/2014/main" id="{50D06437-1B5D-1D46-C4D6-5130E717A557}"/>
                  </a:ext>
                </a:extLst>
              </xdr:cNvPr>
              <xdr:cNvSpPr/>
            </xdr:nvSpPr>
            <xdr:spPr>
              <a:xfrm>
                <a:off x="2630749" y="4629753"/>
                <a:ext cx="218217" cy="221189"/>
              </a:xfrm>
              <a:custGeom>
                <a:avLst/>
                <a:gdLst/>
                <a:ahLst/>
                <a:cxnLst/>
                <a:rect l="l" t="t" r="r" b="b"/>
                <a:pathLst>
                  <a:path w="218217" h="221189">
                    <a:moveTo>
                      <a:pt x="0" y="0"/>
                    </a:moveTo>
                    <a:lnTo>
                      <a:pt x="218216" y="0"/>
                    </a:lnTo>
                    <a:lnTo>
                      <a:pt x="218216" y="221189"/>
                    </a:lnTo>
                    <a:lnTo>
                      <a:pt x="0" y="221189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23">
                  <a:extLst>
                    <a:ext uri="{96DAC541-7B7A-43D3-8B79-37D633B846F1}">
                      <asvg:svgBlip xmlns:asvg="http://schemas.microsoft.com/office/drawing/2016/SVG/main" r:embed="rId24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71" name="Freeform 83">
                <a:extLst>
                  <a:ext uri="{FF2B5EF4-FFF2-40B4-BE49-F238E27FC236}">
                    <a16:creationId xmlns:a16="http://schemas.microsoft.com/office/drawing/2014/main" id="{89903C35-2B52-32F4-5CAC-F95D39C13FDC}"/>
                  </a:ext>
                </a:extLst>
              </xdr:cNvPr>
              <xdr:cNvSpPr/>
            </xdr:nvSpPr>
            <xdr:spPr>
              <a:xfrm>
                <a:off x="2630749" y="6046853"/>
                <a:ext cx="241655" cy="225646"/>
              </a:xfrm>
              <a:custGeom>
                <a:avLst/>
                <a:gdLst/>
                <a:ahLst/>
                <a:cxnLst/>
                <a:rect l="l" t="t" r="r" b="b"/>
                <a:pathLst>
                  <a:path w="241655" h="225646">
                    <a:moveTo>
                      <a:pt x="0" y="0"/>
                    </a:moveTo>
                    <a:lnTo>
                      <a:pt x="241655" y="0"/>
                    </a:lnTo>
                    <a:lnTo>
                      <a:pt x="241655" y="225645"/>
                    </a:lnTo>
                    <a:lnTo>
                      <a:pt x="0" y="225645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29"/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72" name="Freeform 84">
                <a:extLst>
                  <a:ext uri="{FF2B5EF4-FFF2-40B4-BE49-F238E27FC236}">
                    <a16:creationId xmlns:a16="http://schemas.microsoft.com/office/drawing/2014/main" id="{16896A32-70B3-ECC5-AED1-51F435217C79}"/>
                  </a:ext>
                </a:extLst>
              </xdr:cNvPr>
              <xdr:cNvSpPr/>
            </xdr:nvSpPr>
            <xdr:spPr>
              <a:xfrm>
                <a:off x="2613245" y="5319673"/>
                <a:ext cx="253224" cy="253224"/>
              </a:xfrm>
              <a:custGeom>
                <a:avLst/>
                <a:gdLst/>
                <a:ahLst/>
                <a:cxnLst/>
                <a:rect l="l" t="t" r="r" b="b"/>
                <a:pathLst>
                  <a:path w="253224" h="253224">
                    <a:moveTo>
                      <a:pt x="0" y="0"/>
                    </a:moveTo>
                    <a:lnTo>
                      <a:pt x="253224" y="0"/>
                    </a:lnTo>
                    <a:lnTo>
                      <a:pt x="253224" y="253224"/>
                    </a:lnTo>
                    <a:lnTo>
                      <a:pt x="0" y="253224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19">
                  <a:extLst>
                    <a:ext uri="{96DAC541-7B7A-43D3-8B79-37D633B846F1}">
                      <asvg:svgBlip xmlns:asvg="http://schemas.microsoft.com/office/drawing/2016/SVG/main" r:embed="rId20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73" name="TextBox 87">
                <a:extLst>
                  <a:ext uri="{FF2B5EF4-FFF2-40B4-BE49-F238E27FC236}">
                    <a16:creationId xmlns:a16="http://schemas.microsoft.com/office/drawing/2014/main" id="{7B79EE80-5F75-385F-1EFB-7811AC445B40}"/>
                  </a:ext>
                </a:extLst>
              </xdr:cNvPr>
              <xdr:cNvSpPr txBox="1"/>
            </xdr:nvSpPr>
            <xdr:spPr>
              <a:xfrm>
                <a:off x="2496204" y="3188462"/>
                <a:ext cx="1716821" cy="25964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960"/>
                  </a:lnSpc>
                </a:pPr>
                <a:r>
                  <a:rPr lang="en-US" sz="1400" b="1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Summary Chart</a:t>
                </a:r>
              </a:p>
            </xdr:txBody>
          </xdr:sp>
          <xdr:sp macro="" textlink="">
            <xdr:nvSpPr>
              <xdr:cNvPr id="74" name="TextBox 103">
                <a:extLst>
                  <a:ext uri="{FF2B5EF4-FFF2-40B4-BE49-F238E27FC236}">
                    <a16:creationId xmlns:a16="http://schemas.microsoft.com/office/drawing/2014/main" id="{98F9F75C-BA91-CE59-FE1E-FB8CC17EB7E6}"/>
                  </a:ext>
                </a:extLst>
              </xdr:cNvPr>
              <xdr:cNvSpPr txBox="1"/>
            </xdr:nvSpPr>
            <xdr:spPr>
              <a:xfrm>
                <a:off x="3116860" y="3747823"/>
                <a:ext cx="2474627" cy="273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Trips Made</a:t>
                </a:r>
              </a:p>
            </xdr:txBody>
          </xdr:sp>
          <xdr:sp macro="" textlink="">
            <xdr:nvSpPr>
              <xdr:cNvPr id="75" name="TextBox 104">
                <a:extLst>
                  <a:ext uri="{FF2B5EF4-FFF2-40B4-BE49-F238E27FC236}">
                    <a16:creationId xmlns:a16="http://schemas.microsoft.com/office/drawing/2014/main" id="{599C8E5E-EAED-F5CC-457B-80E3529B38A1}"/>
                  </a:ext>
                </a:extLst>
              </xdr:cNvPr>
              <xdr:cNvSpPr txBox="1"/>
            </xdr:nvSpPr>
            <xdr:spPr>
              <a:xfrm>
                <a:off x="3116860" y="4061130"/>
                <a:ext cx="2771800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1,852</a:t>
                </a:r>
                <a:r>
                  <a:rPr lang="en-US" sz="1200" baseline="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trips to </a:t>
                </a: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1,802  </a:t>
                </a:r>
                <a:r>
                  <a:rPr lang="en-US" sz="1200" b="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trips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 </a:t>
                </a:r>
              </a:p>
            </xdr:txBody>
          </xdr:sp>
          <xdr:sp macro="" textlink="">
            <xdr:nvSpPr>
              <xdr:cNvPr id="76" name="TextBox 105">
                <a:extLst>
                  <a:ext uri="{FF2B5EF4-FFF2-40B4-BE49-F238E27FC236}">
                    <a16:creationId xmlns:a16="http://schemas.microsoft.com/office/drawing/2014/main" id="{63C21D15-6D6D-D1C5-CDB2-AD2EC16CA1DE}"/>
                  </a:ext>
                </a:extLst>
              </xdr:cNvPr>
              <xdr:cNvSpPr txBox="1"/>
            </xdr:nvSpPr>
            <xdr:spPr>
              <a:xfrm>
                <a:off x="5487243" y="4061130"/>
                <a:ext cx="972491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r">
                  <a:lnSpc>
                    <a:spcPts val="1679"/>
                  </a:lnSpc>
                </a:pPr>
                <a:r>
                  <a:rPr lang="en-US" sz="1200" b="1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- 50 trips</a:t>
                </a:r>
              </a:p>
            </xdr:txBody>
          </xdr:sp>
          <xdr:sp macro="" textlink="">
            <xdr:nvSpPr>
              <xdr:cNvPr id="77" name="TextBox 106">
                <a:extLst>
                  <a:ext uri="{FF2B5EF4-FFF2-40B4-BE49-F238E27FC236}">
                    <a16:creationId xmlns:a16="http://schemas.microsoft.com/office/drawing/2014/main" id="{143CEA90-15D4-BB53-47A0-9E2F24643866}"/>
                  </a:ext>
                </a:extLst>
              </xdr:cNvPr>
              <xdr:cNvSpPr txBox="1"/>
            </xdr:nvSpPr>
            <xdr:spPr>
              <a:xfrm>
                <a:off x="3115034" y="4460421"/>
                <a:ext cx="2067930" cy="273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Hours Operated</a:t>
                </a:r>
              </a:p>
            </xdr:txBody>
          </xdr:sp>
          <xdr:sp macro="" textlink="">
            <xdr:nvSpPr>
              <xdr:cNvPr id="78" name="TextBox 107">
                <a:extLst>
                  <a:ext uri="{FF2B5EF4-FFF2-40B4-BE49-F238E27FC236}">
                    <a16:creationId xmlns:a16="http://schemas.microsoft.com/office/drawing/2014/main" id="{CE44763F-ABAD-6EDB-F635-9619CA2C8EBE}"/>
                  </a:ext>
                </a:extLst>
              </xdr:cNvPr>
              <xdr:cNvSpPr txBox="1"/>
            </xdr:nvSpPr>
            <xdr:spPr>
              <a:xfrm>
                <a:off x="3115034" y="4774566"/>
                <a:ext cx="2773626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2,019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hours to</a:t>
                </a:r>
                <a:r>
                  <a:rPr lang="en-US" sz="1200" baseline="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</a:t>
                </a: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1,993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hours </a:t>
                </a:r>
              </a:p>
            </xdr:txBody>
          </xdr:sp>
          <xdr:sp macro="" textlink="">
            <xdr:nvSpPr>
              <xdr:cNvPr id="79" name="TextBox 108">
                <a:extLst>
                  <a:ext uri="{FF2B5EF4-FFF2-40B4-BE49-F238E27FC236}">
                    <a16:creationId xmlns:a16="http://schemas.microsoft.com/office/drawing/2014/main" id="{2CEEBED6-2416-BB16-FE87-928C09DA4C3D}"/>
                  </a:ext>
                </a:extLst>
              </xdr:cNvPr>
              <xdr:cNvSpPr txBox="1"/>
            </xdr:nvSpPr>
            <xdr:spPr>
              <a:xfrm>
                <a:off x="5363711" y="4774566"/>
                <a:ext cx="1094199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r">
                  <a:lnSpc>
                    <a:spcPts val="1679"/>
                  </a:lnSpc>
                </a:pPr>
                <a:r>
                  <a:rPr lang="en-US" sz="1200" b="1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-26</a:t>
                </a:r>
                <a:r>
                  <a:rPr lang="en-US" sz="1200" b="1" baseline="0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 </a:t>
                </a:r>
                <a:r>
                  <a:rPr lang="en-US" sz="1200" b="1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hours </a:t>
                </a:r>
              </a:p>
            </xdr:txBody>
          </xdr:sp>
          <xdr:sp macro="" textlink="">
            <xdr:nvSpPr>
              <xdr:cNvPr id="80" name="TextBox 109">
                <a:extLst>
                  <a:ext uri="{FF2B5EF4-FFF2-40B4-BE49-F238E27FC236}">
                    <a16:creationId xmlns:a16="http://schemas.microsoft.com/office/drawing/2014/main" id="{DAC521E4-DC31-47CF-06C7-5B4B8C41AEF0}"/>
                  </a:ext>
                </a:extLst>
              </xdr:cNvPr>
              <xdr:cNvSpPr txBox="1"/>
            </xdr:nvSpPr>
            <xdr:spPr>
              <a:xfrm>
                <a:off x="3116860" y="5172674"/>
                <a:ext cx="2382534" cy="273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Operators</a:t>
                </a:r>
              </a:p>
            </xdr:txBody>
          </xdr:sp>
          <xdr:sp macro="" textlink="">
            <xdr:nvSpPr>
              <xdr:cNvPr id="81" name="TextBox 110">
                <a:extLst>
                  <a:ext uri="{FF2B5EF4-FFF2-40B4-BE49-F238E27FC236}">
                    <a16:creationId xmlns:a16="http://schemas.microsoft.com/office/drawing/2014/main" id="{791D72DA-EC32-E43E-5FDB-7B95ECF16323}"/>
                  </a:ext>
                </a:extLst>
              </xdr:cNvPr>
              <xdr:cNvSpPr txBox="1"/>
            </xdr:nvSpPr>
            <xdr:spPr>
              <a:xfrm>
                <a:off x="3116860" y="5486820"/>
                <a:ext cx="2771800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25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operators to </a:t>
                </a: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27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operators</a:t>
                </a:r>
              </a:p>
            </xdr:txBody>
          </xdr:sp>
          <xdr:sp macro="" textlink="">
            <xdr:nvSpPr>
              <xdr:cNvPr id="83" name="TextBox 119">
                <a:extLst>
                  <a:ext uri="{FF2B5EF4-FFF2-40B4-BE49-F238E27FC236}">
                    <a16:creationId xmlns:a16="http://schemas.microsoft.com/office/drawing/2014/main" id="{B951EADE-08A7-60C2-CCF7-50AC6516AA06}"/>
                  </a:ext>
                </a:extLst>
              </xdr:cNvPr>
              <xdr:cNvSpPr txBox="1"/>
            </xdr:nvSpPr>
            <xdr:spPr>
              <a:xfrm>
                <a:off x="3115034" y="5879749"/>
                <a:ext cx="2382534" cy="273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Days Worked</a:t>
                </a:r>
              </a:p>
            </xdr:txBody>
          </xdr:sp>
          <xdr:sp macro="" textlink="">
            <xdr:nvSpPr>
              <xdr:cNvPr id="84" name="TextBox 120">
                <a:extLst>
                  <a:ext uri="{FF2B5EF4-FFF2-40B4-BE49-F238E27FC236}">
                    <a16:creationId xmlns:a16="http://schemas.microsoft.com/office/drawing/2014/main" id="{68E3CDA2-55EB-086B-D614-DB39956E4057}"/>
                  </a:ext>
                </a:extLst>
              </xdr:cNvPr>
              <xdr:cNvSpPr txBox="1"/>
            </xdr:nvSpPr>
            <xdr:spPr>
              <a:xfrm>
                <a:off x="3115034" y="6193894"/>
                <a:ext cx="2771800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14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days to </a:t>
                </a: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14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days</a:t>
                </a:r>
              </a:p>
            </xdr:txBody>
          </xdr:sp>
        </xdr:grpSp>
        <xdr:sp macro="" textlink="">
          <xdr:nvSpPr>
            <xdr:cNvPr id="57" name="Freeform 35">
              <a:extLst>
                <a:ext uri="{FF2B5EF4-FFF2-40B4-BE49-F238E27FC236}">
                  <a16:creationId xmlns:a16="http://schemas.microsoft.com/office/drawing/2014/main" id="{431F01B6-1A5A-13A2-B674-5855166721DA}"/>
                </a:ext>
              </a:extLst>
            </xdr:cNvPr>
            <xdr:cNvSpPr/>
          </xdr:nvSpPr>
          <xdr:spPr>
            <a:xfrm>
              <a:off x="6181725" y="4457105"/>
              <a:ext cx="239576" cy="143745"/>
            </a:xfrm>
            <a:custGeom>
              <a:avLst/>
              <a:gdLst/>
              <a:ahLst/>
              <a:cxnLst/>
              <a:rect l="l" t="t" r="r" b="b"/>
              <a:pathLst>
                <a:path w="239576" h="143745">
                  <a:moveTo>
                    <a:pt x="0" y="0"/>
                  </a:moveTo>
                  <a:lnTo>
                    <a:pt x="239576" y="0"/>
                  </a:lnTo>
                  <a:lnTo>
                    <a:pt x="239576" y="143746"/>
                  </a:lnTo>
                  <a:lnTo>
                    <a:pt x="0" y="14374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  <xdr:sp macro="" textlink="">
        <xdr:nvSpPr>
          <xdr:cNvPr id="138" name="TextBox 108">
            <a:extLst>
              <a:ext uri="{FF2B5EF4-FFF2-40B4-BE49-F238E27FC236}">
                <a16:creationId xmlns:a16="http://schemas.microsoft.com/office/drawing/2014/main" id="{59D82F5D-FEA6-4D8B-B216-9767C42A87CA}"/>
              </a:ext>
            </a:extLst>
          </xdr:cNvPr>
          <xdr:cNvSpPr txBox="1"/>
        </xdr:nvSpPr>
        <xdr:spPr>
          <a:xfrm>
            <a:off x="5543871" y="5754281"/>
            <a:ext cx="109273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>
              <a:lnSpc>
                <a:spcPts val="1679"/>
              </a:lnSpc>
            </a:pPr>
            <a:r>
              <a:rPr lang="en-US" sz="1200" b="1" baseline="0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+2 operators</a:t>
            </a:r>
            <a:r>
              <a:rPr lang="en-US" sz="12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 </a:t>
            </a:r>
          </a:p>
        </xdr:txBody>
      </xdr:sp>
      <xdr:sp macro="" textlink="">
        <xdr:nvSpPr>
          <xdr:cNvPr id="141" name="Freeform 40">
            <a:extLst>
              <a:ext uri="{FF2B5EF4-FFF2-40B4-BE49-F238E27FC236}">
                <a16:creationId xmlns:a16="http://schemas.microsoft.com/office/drawing/2014/main" id="{D07516C9-C7C9-3071-9F6F-A9B5AF5E0DE1}"/>
              </a:ext>
            </a:extLst>
          </xdr:cNvPr>
          <xdr:cNvSpPr/>
        </xdr:nvSpPr>
        <xdr:spPr>
          <a:xfrm flipV="1">
            <a:off x="6336644" y="5588350"/>
            <a:ext cx="239576" cy="143745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143745"/>
                </a:moveTo>
                <a:lnTo>
                  <a:pt x="239576" y="143745"/>
                </a:lnTo>
                <a:lnTo>
                  <a:pt x="239576" y="0"/>
                </a:lnTo>
                <a:lnTo>
                  <a:pt x="0" y="0"/>
                </a:lnTo>
                <a:lnTo>
                  <a:pt x="0" y="143745"/>
                </a:lnTo>
                <a:close/>
              </a:path>
            </a:pathLst>
          </a:custGeom>
          <a:blipFill>
            <a:blip xmlns:r="http://schemas.openxmlformats.org/officeDocument/2006/relationships" r:embed="rId30">
              <a:extLs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a:blipFill>
        </xdr:spPr>
        <xdr:txBody>
          <a:bodyPr wrap="square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PH"/>
          </a:p>
        </xdr:txBody>
      </xdr:sp>
      <xdr:sp macro="" textlink="">
        <xdr:nvSpPr>
          <xdr:cNvPr id="142" name="TextBox 121">
            <a:extLst>
              <a:ext uri="{FF2B5EF4-FFF2-40B4-BE49-F238E27FC236}">
                <a16:creationId xmlns:a16="http://schemas.microsoft.com/office/drawing/2014/main" id="{ED03B89E-8D6B-45E7-9EC3-D92E714B6AB3}"/>
              </a:ext>
            </a:extLst>
          </xdr:cNvPr>
          <xdr:cNvSpPr txBox="1"/>
        </xdr:nvSpPr>
        <xdr:spPr>
          <a:xfrm>
            <a:off x="6081346" y="6507263"/>
            <a:ext cx="503741" cy="24429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>
              <a:lnSpc>
                <a:spcPts val="1679"/>
              </a:lnSpc>
            </a:pPr>
            <a:r>
              <a:rPr lang="en-US" sz="18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---</a:t>
            </a:r>
          </a:p>
        </xdr:txBody>
      </xdr:sp>
    </xdr:grpSp>
    <xdr:clientData/>
  </xdr:twoCellAnchor>
  <xdr:twoCellAnchor>
    <xdr:from>
      <xdr:col>13</xdr:col>
      <xdr:colOff>376803</xdr:colOff>
      <xdr:row>28</xdr:row>
      <xdr:rowOff>132021</xdr:rowOff>
    </xdr:from>
    <xdr:to>
      <xdr:col>17</xdr:col>
      <xdr:colOff>72122</xdr:colOff>
      <xdr:row>29</xdr:row>
      <xdr:rowOff>164499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AF5FC571-1E6E-4E2B-A177-C5FF14426B9E}"/>
            </a:ext>
          </a:extLst>
        </xdr:cNvPr>
        <xdr:cNvGrpSpPr/>
      </xdr:nvGrpSpPr>
      <xdr:grpSpPr>
        <a:xfrm>
          <a:off x="8336982" y="5466021"/>
          <a:ext cx="2144604" cy="222978"/>
          <a:chOff x="8338812" y="4730017"/>
          <a:chExt cx="2146971" cy="222978"/>
        </a:xfrm>
      </xdr:grpSpPr>
      <xdr:sp macro="" textlink="">
        <xdr:nvSpPr>
          <xdr:cNvPr id="145" name="TextBox 107">
            <a:extLst>
              <a:ext uri="{FF2B5EF4-FFF2-40B4-BE49-F238E27FC236}">
                <a16:creationId xmlns:a16="http://schemas.microsoft.com/office/drawing/2014/main" id="{758AD0BC-B4F6-8F25-68D5-F6CDE82454C7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SILVA PAUL </a:t>
            </a:r>
          </a:p>
        </xdr:txBody>
      </xdr:sp>
      <xdr:sp macro="" textlink="">
        <xdr:nvSpPr>
          <xdr:cNvPr id="146" name="TextBox 107">
            <a:extLst>
              <a:ext uri="{FF2B5EF4-FFF2-40B4-BE49-F238E27FC236}">
                <a16:creationId xmlns:a16="http://schemas.microsoft.com/office/drawing/2014/main" id="{AC08CED8-62C8-8E85-3D31-DAB0303A0672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  <xdr:twoCellAnchor>
    <xdr:from>
      <xdr:col>13</xdr:col>
      <xdr:colOff>375338</xdr:colOff>
      <xdr:row>30</xdr:row>
      <xdr:rowOff>130557</xdr:rowOff>
    </xdr:from>
    <xdr:to>
      <xdr:col>17</xdr:col>
      <xdr:colOff>70657</xdr:colOff>
      <xdr:row>31</xdr:row>
      <xdr:rowOff>163035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19E82AEA-ADE6-4CFD-8B22-99A7F0B61B2C}"/>
            </a:ext>
          </a:extLst>
        </xdr:cNvPr>
        <xdr:cNvGrpSpPr/>
      </xdr:nvGrpSpPr>
      <xdr:grpSpPr>
        <a:xfrm>
          <a:off x="8335517" y="5845557"/>
          <a:ext cx="2144604" cy="222978"/>
          <a:chOff x="8338812" y="4730017"/>
          <a:chExt cx="2146971" cy="222978"/>
        </a:xfrm>
      </xdr:grpSpPr>
      <xdr:sp macro="" textlink="">
        <xdr:nvSpPr>
          <xdr:cNvPr id="148" name="TextBox 107">
            <a:extLst>
              <a:ext uri="{FF2B5EF4-FFF2-40B4-BE49-F238E27FC236}">
                <a16:creationId xmlns:a16="http://schemas.microsoft.com/office/drawing/2014/main" id="{CA07BB49-DBC8-E315-18E3-91422F61977A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SILVA, PAUL </a:t>
            </a:r>
          </a:p>
        </xdr:txBody>
      </xdr:sp>
      <xdr:sp macro="" textlink="">
        <xdr:nvSpPr>
          <xdr:cNvPr id="149" name="TextBox 107">
            <a:extLst>
              <a:ext uri="{FF2B5EF4-FFF2-40B4-BE49-F238E27FC236}">
                <a16:creationId xmlns:a16="http://schemas.microsoft.com/office/drawing/2014/main" id="{E8665B63-2495-87B2-B0A0-CF438CB23807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  <xdr:twoCellAnchor>
    <xdr:from>
      <xdr:col>20</xdr:col>
      <xdr:colOff>84827</xdr:colOff>
      <xdr:row>3</xdr:row>
      <xdr:rowOff>109149</xdr:rowOff>
    </xdr:from>
    <xdr:to>
      <xdr:col>27</xdr:col>
      <xdr:colOff>443925</xdr:colOff>
      <xdr:row>39</xdr:row>
      <xdr:rowOff>109149</xdr:rowOff>
    </xdr:to>
    <xdr:grpSp>
      <xdr:nvGrpSpPr>
        <xdr:cNvPr id="118" name="Group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ED27D4FE-A94D-3437-DC54-1FCF1E49F335}"/>
            </a:ext>
          </a:extLst>
        </xdr:cNvPr>
        <xdr:cNvGrpSpPr/>
      </xdr:nvGrpSpPr>
      <xdr:grpSpPr>
        <a:xfrm>
          <a:off x="12331256" y="680649"/>
          <a:ext cx="4645348" cy="6858000"/>
          <a:chOff x="2162175" y="2771180"/>
          <a:chExt cx="4629763" cy="4276053"/>
        </a:xfrm>
      </xdr:grpSpPr>
      <xdr:grpSp>
        <xdr:nvGrpSpPr>
          <xdr:cNvPr id="124" name="Group 123">
            <a:extLst>
              <a:ext uri="{FF2B5EF4-FFF2-40B4-BE49-F238E27FC236}">
                <a16:creationId xmlns:a16="http://schemas.microsoft.com/office/drawing/2014/main" id="{28AB7B88-A0FA-03E9-3892-0B7637E66A08}"/>
              </a:ext>
            </a:extLst>
          </xdr:cNvPr>
          <xdr:cNvGrpSpPr/>
        </xdr:nvGrpSpPr>
        <xdr:grpSpPr>
          <a:xfrm>
            <a:off x="2162175" y="2771180"/>
            <a:ext cx="4629763" cy="4276053"/>
            <a:chOff x="0" y="-47625"/>
            <a:chExt cx="1646138" cy="1520374"/>
          </a:xfrm>
        </xdr:grpSpPr>
        <xdr:sp macro="" textlink="">
          <xdr:nvSpPr>
            <xdr:cNvPr id="131" name="Freeform 29">
              <a:hlinkClick xmlns:r="http://schemas.openxmlformats.org/officeDocument/2006/relationships" r:id="rId32"/>
              <a:extLst>
                <a:ext uri="{FF2B5EF4-FFF2-40B4-BE49-F238E27FC236}">
                  <a16:creationId xmlns:a16="http://schemas.microsoft.com/office/drawing/2014/main" id="{8A72AA34-5078-F421-3D6C-B9270D5F5BB7}"/>
                </a:ext>
              </a:extLst>
            </xdr:cNvPr>
            <xdr:cNvSpPr/>
          </xdr:nvSpPr>
          <xdr:spPr>
            <a:xfrm>
              <a:off x="0" y="0"/>
              <a:ext cx="1646138" cy="1237388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32" name="TextBox 30">
              <a:extLst>
                <a:ext uri="{FF2B5EF4-FFF2-40B4-BE49-F238E27FC236}">
                  <a16:creationId xmlns:a16="http://schemas.microsoft.com/office/drawing/2014/main" id="{ED8E8CBC-BA6F-9E54-B712-501428DDF57F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125" name="TextBox 34">
            <a:extLst>
              <a:ext uri="{FF2B5EF4-FFF2-40B4-BE49-F238E27FC236}">
                <a16:creationId xmlns:a16="http://schemas.microsoft.com/office/drawing/2014/main" id="{5E1DB488-EBBA-5C34-D660-92B6D8DF505D}"/>
              </a:ext>
            </a:extLst>
          </xdr:cNvPr>
          <xdr:cNvSpPr txBox="1"/>
        </xdr:nvSpPr>
        <xdr:spPr>
          <a:xfrm>
            <a:off x="2584229" y="3849736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26" name="TextBox 39">
            <a:extLst>
              <a:ext uri="{FF2B5EF4-FFF2-40B4-BE49-F238E27FC236}">
                <a16:creationId xmlns:a16="http://schemas.microsoft.com/office/drawing/2014/main" id="{662970AC-F4CB-7457-81C3-526DD434151A}"/>
              </a:ext>
            </a:extLst>
          </xdr:cNvPr>
          <xdr:cNvSpPr txBox="1"/>
        </xdr:nvSpPr>
        <xdr:spPr>
          <a:xfrm>
            <a:off x="2582553" y="4562445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27" name="TextBox 44">
            <a:extLst>
              <a:ext uri="{FF2B5EF4-FFF2-40B4-BE49-F238E27FC236}">
                <a16:creationId xmlns:a16="http://schemas.microsoft.com/office/drawing/2014/main" id="{89D9023E-1431-6619-BBF2-D027D3DB2C2F}"/>
              </a:ext>
            </a:extLst>
          </xdr:cNvPr>
          <xdr:cNvSpPr txBox="1"/>
        </xdr:nvSpPr>
        <xdr:spPr>
          <a:xfrm>
            <a:off x="2584379" y="5274699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28" name="Freeform 46">
            <a:extLst>
              <a:ext uri="{FF2B5EF4-FFF2-40B4-BE49-F238E27FC236}">
                <a16:creationId xmlns:a16="http://schemas.microsoft.com/office/drawing/2014/main" id="{C1119D1F-9DC0-44B4-E2E8-74000B8E898C}"/>
              </a:ext>
            </a:extLst>
          </xdr:cNvPr>
          <xdr:cNvSpPr/>
        </xdr:nvSpPr>
        <xdr:spPr>
          <a:xfrm>
            <a:off x="6326629" y="3196677"/>
            <a:ext cx="93670" cy="94275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1">
              <a:extLs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29" name="TextBox 80">
            <a:extLst>
              <a:ext uri="{FF2B5EF4-FFF2-40B4-BE49-F238E27FC236}">
                <a16:creationId xmlns:a16="http://schemas.microsoft.com/office/drawing/2014/main" id="{EC96F110-654B-33E0-91D2-F55D04F68870}"/>
              </a:ext>
            </a:extLst>
          </xdr:cNvPr>
          <xdr:cNvSpPr txBox="1"/>
        </xdr:nvSpPr>
        <xdr:spPr>
          <a:xfrm>
            <a:off x="2582403" y="5986841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30" name="TextBox 87">
            <a:extLst>
              <a:ext uri="{FF2B5EF4-FFF2-40B4-BE49-F238E27FC236}">
                <a16:creationId xmlns:a16="http://schemas.microsoft.com/office/drawing/2014/main" id="{7477F89A-3878-B732-8F57-6DDE1C9962E4}"/>
              </a:ext>
            </a:extLst>
          </xdr:cNvPr>
          <xdr:cNvSpPr txBox="1"/>
        </xdr:nvSpPr>
        <xdr:spPr>
          <a:xfrm>
            <a:off x="3106046" y="3167501"/>
            <a:ext cx="1716821" cy="259641"/>
          </a:xfrm>
          <a:prstGeom prst="rect">
            <a:avLst/>
          </a:prstGeom>
        </xdr:spPr>
        <xdr:txBody>
          <a:bodyPr wrap="square" lIns="0" tIns="0" rIns="0" bIns="0" rtlCol="0" anchor="t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960"/>
              </a:lnSpc>
            </a:pPr>
            <a:r>
              <a:rPr lang="en-US" sz="14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Trips Made</a:t>
            </a:r>
          </a:p>
        </xdr:txBody>
      </xdr:sp>
    </xdr:grpSp>
    <xdr:clientData/>
  </xdr:twoCellAnchor>
  <xdr:twoCellAnchor>
    <xdr:from>
      <xdr:col>20</xdr:col>
      <xdr:colOff>332656</xdr:colOff>
      <xdr:row>6</xdr:row>
      <xdr:rowOff>8296</xdr:rowOff>
    </xdr:from>
    <xdr:to>
      <xdr:col>21</xdr:col>
      <xdr:colOff>302005</xdr:colOff>
      <xdr:row>9</xdr:row>
      <xdr:rowOff>16174</xdr:rowOff>
    </xdr:to>
    <xdr:grpSp>
      <xdr:nvGrpSpPr>
        <xdr:cNvPr id="119" name="Group 118">
          <a:extLst>
            <a:ext uri="{FF2B5EF4-FFF2-40B4-BE49-F238E27FC236}">
              <a16:creationId xmlns:a16="http://schemas.microsoft.com/office/drawing/2014/main" id="{5CE220B1-4B69-B175-D61A-C88C0306EA2D}"/>
            </a:ext>
          </a:extLst>
        </xdr:cNvPr>
        <xdr:cNvGrpSpPr/>
      </xdr:nvGrpSpPr>
      <xdr:grpSpPr>
        <a:xfrm>
          <a:off x="12579085" y="1151296"/>
          <a:ext cx="581670" cy="579378"/>
          <a:chOff x="12691445" y="653143"/>
          <a:chExt cx="574896" cy="579378"/>
        </a:xfrm>
      </xdr:grpSpPr>
      <xdr:pic>
        <xdr:nvPicPr>
          <xdr:cNvPr id="121" name="Picture 120">
            <a:extLst>
              <a:ext uri="{FF2B5EF4-FFF2-40B4-BE49-F238E27FC236}">
                <a16:creationId xmlns:a16="http://schemas.microsoft.com/office/drawing/2014/main" id="{A33CA7A1-D17B-F99A-E35D-B520DB4794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2691445" y="653143"/>
            <a:ext cx="574896" cy="579378"/>
          </a:xfrm>
          <a:prstGeom prst="rect">
            <a:avLst/>
          </a:prstGeom>
        </xdr:spPr>
      </xdr:pic>
      <xdr:sp macro="" textlink="">
        <xdr:nvSpPr>
          <xdr:cNvPr id="122" name="Freeform 33">
            <a:extLst>
              <a:ext uri="{FF2B5EF4-FFF2-40B4-BE49-F238E27FC236}">
                <a16:creationId xmlns:a16="http://schemas.microsoft.com/office/drawing/2014/main" id="{5DFF78A4-6AC4-ABD4-896A-9CF9DBB8A36B}"/>
              </a:ext>
            </a:extLst>
          </xdr:cNvPr>
          <xdr:cNvSpPr/>
        </xdr:nvSpPr>
        <xdr:spPr>
          <a:xfrm>
            <a:off x="12790333" y="751807"/>
            <a:ext cx="377121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23" name="Freeform 81">
            <a:extLst>
              <a:ext uri="{FF2B5EF4-FFF2-40B4-BE49-F238E27FC236}">
                <a16:creationId xmlns:a16="http://schemas.microsoft.com/office/drawing/2014/main" id="{DE4C5B60-B870-6EC5-3513-4F45BD25A497}"/>
              </a:ext>
            </a:extLst>
          </xdr:cNvPr>
          <xdr:cNvSpPr/>
        </xdr:nvSpPr>
        <xdr:spPr>
          <a:xfrm>
            <a:off x="12897805" y="826872"/>
            <a:ext cx="168815" cy="231921"/>
          </a:xfrm>
          <a:custGeom>
            <a:avLst/>
            <a:gdLst/>
            <a:ahLst/>
            <a:cxnLst/>
            <a:rect l="l" t="t" r="r" b="b"/>
            <a:pathLst>
              <a:path w="168433" h="231921">
                <a:moveTo>
                  <a:pt x="0" y="0"/>
                </a:moveTo>
                <a:lnTo>
                  <a:pt x="168432" y="0"/>
                </a:lnTo>
                <a:lnTo>
                  <a:pt x="168432" y="231921"/>
                </a:lnTo>
                <a:lnTo>
                  <a:pt x="0" y="231921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27">
              <a:extLs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20</xdr:col>
      <xdr:colOff>507129</xdr:colOff>
      <xdr:row>10</xdr:row>
      <xdr:rowOff>78441</xdr:rowOff>
    </xdr:from>
    <xdr:to>
      <xdr:col>27</xdr:col>
      <xdr:colOff>39278</xdr:colOff>
      <xdr:row>30</xdr:row>
      <xdr:rowOff>145116</xdr:rowOff>
    </xdr:to>
    <xdr:pic>
      <xdr:nvPicPr>
        <xdr:cNvPr id="82" name="Picture 81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D6BD004C-5B73-950D-5B76-742429DBB9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9129" y="1983441"/>
          <a:ext cx="3799349" cy="387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142110</xdr:colOff>
      <xdr:row>10</xdr:row>
      <xdr:rowOff>76943</xdr:rowOff>
    </xdr:from>
    <xdr:to>
      <xdr:col>35</xdr:col>
      <xdr:colOff>259595</xdr:colOff>
      <xdr:row>25</xdr:row>
      <xdr:rowOff>179295</xdr:rowOff>
    </xdr:to>
    <xdr:pic>
      <xdr:nvPicPr>
        <xdr:cNvPr id="140" name="Picture 13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3B40D36-62A0-C4B1-0F2C-7B2560C55B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0522" y="1981943"/>
          <a:ext cx="3748191" cy="29598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514350</xdr:colOff>
      <xdr:row>0</xdr:row>
      <xdr:rowOff>0</xdr:rowOff>
    </xdr:from>
    <xdr:to>
      <xdr:col>5</xdr:col>
      <xdr:colOff>179566</xdr:colOff>
      <xdr:row>3</xdr:row>
      <xdr:rowOff>0</xdr:rowOff>
    </xdr:to>
    <xdr:sp macro="" textlink="">
      <xdr:nvSpPr>
        <xdr:cNvPr id="2" name="Freeform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9F560E-EAD2-4F97-B9B6-D4BC264475A5}"/>
            </a:ext>
          </a:extLst>
        </xdr:cNvPr>
        <xdr:cNvSpPr/>
      </xdr:nvSpPr>
      <xdr:spPr>
        <a:xfrm>
          <a:off x="5353050" y="0"/>
          <a:ext cx="1484491" cy="571500"/>
        </a:xfrm>
        <a:custGeom>
          <a:avLst/>
          <a:gdLst/>
          <a:ahLst/>
          <a:cxnLst/>
          <a:rect l="l" t="t" r="r" b="b"/>
          <a:pathLst>
            <a:path w="718918" h="373405">
              <a:moveTo>
                <a:pt x="76578" y="0"/>
              </a:moveTo>
              <a:lnTo>
                <a:pt x="642340" y="0"/>
              </a:lnTo>
              <a:cubicBezTo>
                <a:pt x="662650" y="0"/>
                <a:pt x="682128" y="8068"/>
                <a:pt x="696489" y="22429"/>
              </a:cubicBezTo>
              <a:cubicBezTo>
                <a:pt x="710850" y="36791"/>
                <a:pt x="718918" y="56269"/>
                <a:pt x="718918" y="76578"/>
              </a:cubicBezTo>
              <a:lnTo>
                <a:pt x="718918" y="296826"/>
              </a:lnTo>
              <a:cubicBezTo>
                <a:pt x="718918" y="317136"/>
                <a:pt x="710850" y="336614"/>
                <a:pt x="696489" y="350975"/>
              </a:cubicBezTo>
              <a:cubicBezTo>
                <a:pt x="682128" y="365337"/>
                <a:pt x="662650" y="373405"/>
                <a:pt x="642340" y="373405"/>
              </a:cubicBezTo>
              <a:lnTo>
                <a:pt x="76578" y="373405"/>
              </a:lnTo>
              <a:cubicBezTo>
                <a:pt x="56269" y="373405"/>
                <a:pt x="36791" y="365337"/>
                <a:pt x="22429" y="350975"/>
              </a:cubicBezTo>
              <a:cubicBezTo>
                <a:pt x="8068" y="336614"/>
                <a:pt x="0" y="317136"/>
                <a:pt x="0" y="296826"/>
              </a:cubicBezTo>
              <a:lnTo>
                <a:pt x="0" y="76578"/>
              </a:lnTo>
              <a:cubicBezTo>
                <a:pt x="0" y="56269"/>
                <a:pt x="8068" y="36791"/>
                <a:pt x="22429" y="22429"/>
              </a:cubicBezTo>
              <a:cubicBezTo>
                <a:pt x="36791" y="8068"/>
                <a:pt x="56269" y="0"/>
                <a:pt x="76578" y="0"/>
              </a:cubicBezTo>
              <a:close/>
            </a:path>
          </a:pathLst>
        </a:custGeom>
        <a:solidFill>
          <a:schemeClr val="accent1">
            <a:lumMod val="50000"/>
          </a:schemeClr>
        </a:solidFill>
      </xdr:spPr>
      <xdr:txBody>
        <a:bodyPr wrap="square"/>
        <a:lstStyle/>
        <a:p>
          <a:endParaRPr lang="en-PH" sz="700"/>
        </a:p>
      </xdr:txBody>
    </xdr:sp>
    <xdr:clientData/>
  </xdr:twoCellAnchor>
  <xdr:twoCellAnchor>
    <xdr:from>
      <xdr:col>3</xdr:col>
      <xdr:colOff>728664</xdr:colOff>
      <xdr:row>0</xdr:row>
      <xdr:rowOff>0</xdr:rowOff>
    </xdr:from>
    <xdr:to>
      <xdr:col>5</xdr:col>
      <xdr:colOff>150366</xdr:colOff>
      <xdr:row>2</xdr:row>
      <xdr:rowOff>95249</xdr:rowOff>
    </xdr:to>
    <xdr:sp macro="" textlink="">
      <xdr:nvSpPr>
        <xdr:cNvPr id="3" name="TextBox 8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F7D865-1D18-48A0-80CD-941EF2D26253}"/>
            </a:ext>
          </a:extLst>
        </xdr:cNvPr>
        <xdr:cNvSpPr txBox="1"/>
      </xdr:nvSpPr>
      <xdr:spPr>
        <a:xfrm>
          <a:off x="5567364" y="0"/>
          <a:ext cx="1240977" cy="476249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3919"/>
            </a:lnSpc>
          </a:pPr>
          <a:r>
            <a:rPr lang="en-US" sz="2400" b="1">
              <a:solidFill>
                <a:srgbClr val="FFFFFF"/>
              </a:solidFill>
              <a:latin typeface="Sukar Heavy"/>
              <a:ea typeface="Sukar Heavy"/>
              <a:cs typeface="Sukar Heavy"/>
              <a:sym typeface="Sukar Heavy"/>
            </a:rPr>
            <a:t>Go 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462169</xdr:colOff>
      <xdr:row>7</xdr:row>
      <xdr:rowOff>88209</xdr:rowOff>
    </xdr:from>
    <xdr:to>
      <xdr:col>2</xdr:col>
      <xdr:colOff>469209</xdr:colOff>
      <xdr:row>31</xdr:row>
      <xdr:rowOff>88210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E357F71-ACB5-408C-983D-A3629B16A94A}"/>
            </a:ext>
          </a:extLst>
        </xdr:cNvPr>
        <xdr:cNvGrpSpPr/>
      </xdr:nvGrpSpPr>
      <xdr:grpSpPr>
        <a:xfrm>
          <a:off x="462169" y="1421709"/>
          <a:ext cx="1217275" cy="4572001"/>
          <a:chOff x="489502" y="1209674"/>
          <a:chExt cx="1232866" cy="45720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DBBFA6E-F212-2400-0C4A-020CAE4D8ACE}"/>
              </a:ext>
            </a:extLst>
          </xdr:cNvPr>
          <xdr:cNvSpPr/>
        </xdr:nvSpPr>
        <xdr:spPr>
          <a:xfrm>
            <a:off x="561976" y="1209674"/>
            <a:ext cx="1092475" cy="4572001"/>
          </a:xfrm>
          <a:prstGeom prst="roundRect">
            <a:avLst>
              <a:gd name="adj" fmla="val 50000"/>
            </a:avLst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4" name="TextBox 11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6B4872-1F72-D285-D5FE-17F7A9CC3D40}"/>
              </a:ext>
            </a:extLst>
          </xdr:cNvPr>
          <xdr:cNvSpPr txBox="1"/>
        </xdr:nvSpPr>
        <xdr:spPr>
          <a:xfrm>
            <a:off x="489502" y="329151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CCTA</a:t>
            </a:r>
          </a:p>
        </xdr:txBody>
      </xdr:sp>
      <xdr:sp macro="" textlink="">
        <xdr:nvSpPr>
          <xdr:cNvPr id="5" name="TextBox 112">
            <a:extLst>
              <a:ext uri="{FF2B5EF4-FFF2-40B4-BE49-F238E27FC236}">
                <a16:creationId xmlns:a16="http://schemas.microsoft.com/office/drawing/2014/main" id="{9F7BB08C-68C4-3C8A-E742-979F777862D7}"/>
              </a:ext>
            </a:extLst>
          </xdr:cNvPr>
          <xdr:cNvSpPr txBox="1"/>
        </xdr:nvSpPr>
        <xdr:spPr>
          <a:xfrm>
            <a:off x="506068" y="399056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00B0F0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LATVA</a:t>
            </a:r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958A4B8C-299D-9FBC-7BEC-054E9329C6A7}"/>
              </a:ext>
            </a:extLst>
          </xdr:cNvPr>
          <xdr:cNvGrpSpPr/>
        </xdr:nvGrpSpPr>
        <xdr:grpSpPr>
          <a:xfrm>
            <a:off x="775381" y="2296049"/>
            <a:ext cx="640948" cy="618645"/>
            <a:chOff x="512916" y="2597968"/>
            <a:chExt cx="212016" cy="220233"/>
          </a:xfrm>
        </xdr:grpSpPr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ACDC9C07-0460-BAD9-CA7F-F9D6E9F13251}"/>
                </a:ext>
              </a:extLst>
            </xdr:cNvPr>
            <xdr:cNvGrpSpPr/>
          </xdr:nvGrpSpPr>
          <xdr:grpSpPr>
            <a:xfrm>
              <a:off x="512916" y="2597968"/>
              <a:ext cx="212016" cy="220233"/>
              <a:chOff x="-21006" y="47625"/>
              <a:chExt cx="812800" cy="844301"/>
            </a:xfrm>
          </xdr:grpSpPr>
          <xdr:sp macro="" textlink="">
            <xdr:nvSpPr>
              <xdr:cNvPr id="9" name="Freeform 14">
                <a:hlinkClick xmlns:r="http://schemas.openxmlformats.org/officeDocument/2006/relationships" r:id="rId2"/>
                <a:extLst>
                  <a:ext uri="{FF2B5EF4-FFF2-40B4-BE49-F238E27FC236}">
                    <a16:creationId xmlns:a16="http://schemas.microsoft.com/office/drawing/2014/main" id="{DBF0E963-5CBD-900D-D3B4-69FB7C48D9C1}"/>
                  </a:ext>
                </a:extLst>
              </xdr:cNvPr>
              <xdr:cNvSpPr/>
            </xdr:nvSpPr>
            <xdr:spPr>
              <a:xfrm>
                <a:off x="-21006" y="79126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solidFill>
                <a:srgbClr val="000000"/>
              </a:soli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10" name="TextBox 15">
                <a:extLst>
                  <a:ext uri="{FF2B5EF4-FFF2-40B4-BE49-F238E27FC236}">
                    <a16:creationId xmlns:a16="http://schemas.microsoft.com/office/drawing/2014/main" id="{46990B2E-C180-6940-55E3-ACAE2D0C6B28}"/>
                  </a:ext>
                </a:extLst>
              </xdr:cNvPr>
              <xdr:cNvSpPr txBox="1"/>
            </xdr:nvSpPr>
            <xdr:spPr>
              <a:xfrm>
                <a:off x="76200" y="47625"/>
                <a:ext cx="660400" cy="68897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679"/>
                  </a:lnSpc>
                </a:pPr>
                <a:endParaRPr/>
              </a:p>
            </xdr:txBody>
          </xdr:sp>
        </xdr:grpSp>
        <xdr:sp macro="[0]!Freeform16_Click" textlink="">
          <xdr:nvSpPr>
            <xdr:cNvPr id="8" name="Freeform 1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F92ECC23-CF60-32C4-4F03-8C940B0286D1}"/>
                </a:ext>
              </a:extLst>
            </xdr:cNvPr>
            <xdr:cNvSpPr/>
          </xdr:nvSpPr>
          <xdr:spPr>
            <a:xfrm>
              <a:off x="552296" y="2655560"/>
              <a:ext cx="133255" cy="113267"/>
            </a:xfrm>
            <a:custGeom>
              <a:avLst/>
              <a:gdLst/>
              <a:ahLst/>
              <a:cxnLst/>
              <a:rect l="l" t="t" r="r" b="b"/>
              <a:pathLst>
                <a:path w="133255" h="113267">
                  <a:moveTo>
                    <a:pt x="0" y="0"/>
                  </a:moveTo>
                  <a:lnTo>
                    <a:pt x="133255" y="0"/>
                  </a:lnTo>
                  <a:lnTo>
                    <a:pt x="133255" y="113266"/>
                  </a:lnTo>
                  <a:lnTo>
                    <a:pt x="0" y="11326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12</xdr:col>
      <xdr:colOff>545319</xdr:colOff>
      <xdr:row>21</xdr:row>
      <xdr:rowOff>173086</xdr:rowOff>
    </xdr:from>
    <xdr:to>
      <xdr:col>13</xdr:col>
      <xdr:colOff>245859</xdr:colOff>
      <xdr:row>23</xdr:row>
      <xdr:rowOff>124888</xdr:rowOff>
    </xdr:to>
    <xdr:sp macro="" textlink="">
      <xdr:nvSpPr>
        <xdr:cNvPr id="11" name="TextBox 34">
          <a:extLst>
            <a:ext uri="{FF2B5EF4-FFF2-40B4-BE49-F238E27FC236}">
              <a16:creationId xmlns:a16="http://schemas.microsoft.com/office/drawing/2014/main" id="{6D4444CD-DC99-42A7-8937-E0728F5DBA7B}"/>
            </a:ext>
          </a:extLst>
        </xdr:cNvPr>
        <xdr:cNvSpPr txBox="1"/>
      </xdr:nvSpPr>
      <xdr:spPr>
        <a:xfrm>
          <a:off x="7860519" y="4173586"/>
          <a:ext cx="310140" cy="332802"/>
        </a:xfrm>
        <a:prstGeom prst="rect">
          <a:avLst/>
        </a:prstGeom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960"/>
            </a:lnSpc>
          </a:pPr>
          <a:endParaRPr/>
        </a:p>
      </xdr:txBody>
    </xdr:sp>
    <xdr:clientData/>
  </xdr:twoCellAnchor>
  <xdr:twoCellAnchor>
    <xdr:from>
      <xdr:col>12</xdr:col>
      <xdr:colOff>122464</xdr:colOff>
      <xdr:row>16</xdr:row>
      <xdr:rowOff>47030</xdr:rowOff>
    </xdr:from>
    <xdr:to>
      <xdr:col>19</xdr:col>
      <xdr:colOff>168089</xdr:colOff>
      <xdr:row>38</xdr:row>
      <xdr:rowOff>132083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580BEDD-7AF7-4DFA-A4B1-AD18A5FF77D1}"/>
            </a:ext>
          </a:extLst>
        </xdr:cNvPr>
        <xdr:cNvGrpSpPr/>
      </xdr:nvGrpSpPr>
      <xdr:grpSpPr>
        <a:xfrm>
          <a:off x="7383876" y="3095030"/>
          <a:ext cx="4281448" cy="4276053"/>
          <a:chOff x="7383876" y="3095030"/>
          <a:chExt cx="4601108" cy="4276053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D3B5F207-8212-640A-2513-30D263D28A07}"/>
              </a:ext>
            </a:extLst>
          </xdr:cNvPr>
          <xdr:cNvGrpSpPr/>
        </xdr:nvGrpSpPr>
        <xdr:grpSpPr>
          <a:xfrm>
            <a:off x="7383876" y="3095030"/>
            <a:ext cx="4601108" cy="4276053"/>
            <a:chOff x="0" y="-47625"/>
            <a:chExt cx="1646138" cy="1520374"/>
          </a:xfrm>
        </xdr:grpSpPr>
        <xdr:sp macro="" textlink="">
          <xdr:nvSpPr>
            <xdr:cNvPr id="15" name="Freeform 2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3EE074C-8018-F0E0-56D4-880A8F0C924D}"/>
                </a:ext>
              </a:extLst>
            </xdr:cNvPr>
            <xdr:cNvSpPr/>
          </xdr:nvSpPr>
          <xdr:spPr>
            <a:xfrm>
              <a:off x="0" y="0"/>
              <a:ext cx="1646138" cy="1347893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6" name="TextBox 30">
              <a:extLst>
                <a:ext uri="{FF2B5EF4-FFF2-40B4-BE49-F238E27FC236}">
                  <a16:creationId xmlns:a16="http://schemas.microsoft.com/office/drawing/2014/main" id="{D1344269-D25D-66FE-F85F-10B9C75981AC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14" name="Freeform 4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FC5E46-6FF8-F917-D49C-D8D664923CD4}"/>
              </a:ext>
            </a:extLst>
          </xdr:cNvPr>
          <xdr:cNvSpPr/>
        </xdr:nvSpPr>
        <xdr:spPr>
          <a:xfrm>
            <a:off x="11552065" y="3588972"/>
            <a:ext cx="10008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13</xdr:col>
      <xdr:colOff>497093</xdr:colOff>
      <xdr:row>18</xdr:row>
      <xdr:rowOff>109588</xdr:rowOff>
    </xdr:from>
    <xdr:to>
      <xdr:col>16</xdr:col>
      <xdr:colOff>229402</xdr:colOff>
      <xdr:row>19</xdr:row>
      <xdr:rowOff>178729</xdr:rowOff>
    </xdr:to>
    <xdr:sp macro="" textlink="">
      <xdr:nvSpPr>
        <xdr:cNvPr id="17" name="TextBox 87">
          <a:extLst>
            <a:ext uri="{FF2B5EF4-FFF2-40B4-BE49-F238E27FC236}">
              <a16:creationId xmlns:a16="http://schemas.microsoft.com/office/drawing/2014/main" id="{153E1146-FE85-4BAE-88A2-E49F1843C442}"/>
            </a:ext>
          </a:extLst>
        </xdr:cNvPr>
        <xdr:cNvSpPr txBox="1"/>
      </xdr:nvSpPr>
      <xdr:spPr>
        <a:xfrm>
          <a:off x="8421893" y="3538588"/>
          <a:ext cx="1561109" cy="25964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Operators</a:t>
          </a:r>
        </a:p>
      </xdr:txBody>
    </xdr:sp>
    <xdr:clientData/>
  </xdr:twoCellAnchor>
  <xdr:twoCellAnchor>
    <xdr:from>
      <xdr:col>9</xdr:col>
      <xdr:colOff>541351</xdr:colOff>
      <xdr:row>28</xdr:row>
      <xdr:rowOff>78811</xdr:rowOff>
    </xdr:from>
    <xdr:to>
      <xdr:col>10</xdr:col>
      <xdr:colOff>477575</xdr:colOff>
      <xdr:row>29</xdr:row>
      <xdr:rowOff>106319</xdr:rowOff>
    </xdr:to>
    <xdr:sp macro="" textlink="">
      <xdr:nvSpPr>
        <xdr:cNvPr id="18" name="TextBox 110">
          <a:extLst>
            <a:ext uri="{FF2B5EF4-FFF2-40B4-BE49-F238E27FC236}">
              <a16:creationId xmlns:a16="http://schemas.microsoft.com/office/drawing/2014/main" id="{4FAD2065-B2E5-4DB8-8A39-AADFBE489E21}"/>
            </a:ext>
          </a:extLst>
        </xdr:cNvPr>
        <xdr:cNvSpPr txBox="1"/>
      </xdr:nvSpPr>
      <xdr:spPr>
        <a:xfrm>
          <a:off x="6027751" y="5412811"/>
          <a:ext cx="545824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9</xdr:col>
      <xdr:colOff>522032</xdr:colOff>
      <xdr:row>32</xdr:row>
      <xdr:rowOff>14725</xdr:rowOff>
    </xdr:from>
    <xdr:to>
      <xdr:col>10</xdr:col>
      <xdr:colOff>506865</xdr:colOff>
      <xdr:row>33</xdr:row>
      <xdr:rowOff>42233</xdr:rowOff>
    </xdr:to>
    <xdr:sp macro="" textlink="">
      <xdr:nvSpPr>
        <xdr:cNvPr id="19" name="TextBox 110">
          <a:extLst>
            <a:ext uri="{FF2B5EF4-FFF2-40B4-BE49-F238E27FC236}">
              <a16:creationId xmlns:a16="http://schemas.microsoft.com/office/drawing/2014/main" id="{8AA59D44-5CB9-4E19-8D47-86FF3093C2A4}"/>
            </a:ext>
          </a:extLst>
        </xdr:cNvPr>
        <xdr:cNvSpPr txBox="1"/>
      </xdr:nvSpPr>
      <xdr:spPr>
        <a:xfrm>
          <a:off x="6008432" y="6110725"/>
          <a:ext cx="594433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4</xdr:col>
      <xdr:colOff>588063</xdr:colOff>
      <xdr:row>3</xdr:row>
      <xdr:rowOff>99739</xdr:rowOff>
    </xdr:from>
    <xdr:to>
      <xdr:col>10</xdr:col>
      <xdr:colOff>278948</xdr:colOff>
      <xdr:row>13</xdr:row>
      <xdr:rowOff>134551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359B1C6E-6B4A-5998-A7E3-FA37AAEFF71A}"/>
            </a:ext>
          </a:extLst>
        </xdr:cNvPr>
        <xdr:cNvGrpSpPr/>
      </xdr:nvGrpSpPr>
      <xdr:grpSpPr>
        <a:xfrm>
          <a:off x="3008534" y="671239"/>
          <a:ext cx="3321590" cy="1939812"/>
          <a:chOff x="2855014" y="470013"/>
          <a:chExt cx="3348238" cy="1939812"/>
        </a:xfrm>
      </xdr:grpSpPr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958DF693-40EA-2A0B-EF21-1247A7618148}"/>
              </a:ext>
            </a:extLst>
          </xdr:cNvPr>
          <xdr:cNvGrpSpPr/>
        </xdr:nvGrpSpPr>
        <xdr:grpSpPr>
          <a:xfrm>
            <a:off x="2855014" y="470013"/>
            <a:ext cx="3348238" cy="1939812"/>
            <a:chOff x="2855014" y="470013"/>
            <a:chExt cx="3348238" cy="1939812"/>
          </a:xfrm>
        </xdr:grpSpPr>
        <xdr:grpSp>
          <xdr:nvGrpSpPr>
            <xdr:cNvPr id="25" name="Group 24">
              <a:extLst>
                <a:ext uri="{FF2B5EF4-FFF2-40B4-BE49-F238E27FC236}">
                  <a16:creationId xmlns:a16="http://schemas.microsoft.com/office/drawing/2014/main" id="{49560F61-E6EB-44D0-2846-1A6A5F8FC64B}"/>
                </a:ext>
              </a:extLst>
            </xdr:cNvPr>
            <xdr:cNvGrpSpPr/>
          </xdr:nvGrpSpPr>
          <xdr:grpSpPr>
            <a:xfrm>
              <a:off x="2855014" y="470013"/>
              <a:ext cx="3348238" cy="1939812"/>
              <a:chOff x="0" y="-28575"/>
              <a:chExt cx="729839" cy="401980"/>
            </a:xfrm>
          </xdr:grpSpPr>
          <xdr:sp macro="" textlink="">
            <xdr:nvSpPr>
              <xdr:cNvPr id="30" name="Freeform 8">
                <a:hlinkClick xmlns:r="http://schemas.openxmlformats.org/officeDocument/2006/relationships" r:id="rId8"/>
                <a:extLst>
                  <a:ext uri="{FF2B5EF4-FFF2-40B4-BE49-F238E27FC236}">
                    <a16:creationId xmlns:a16="http://schemas.microsoft.com/office/drawing/2014/main" id="{5A4AE938-8F9F-AB8C-C894-B53146926CAF}"/>
                  </a:ext>
                </a:extLst>
              </xdr:cNvPr>
              <xdr:cNvSpPr/>
            </xdr:nvSpPr>
            <xdr:spPr>
              <a:xfrm>
                <a:off x="0" y="0"/>
                <a:ext cx="729839" cy="373405"/>
              </a:xfrm>
              <a:custGeom>
                <a:avLst/>
                <a:gdLst/>
                <a:ahLst/>
                <a:cxnLst/>
                <a:rect l="l" t="t" r="r" b="b"/>
                <a:pathLst>
                  <a:path w="718918" h="373405">
                    <a:moveTo>
                      <a:pt x="76578" y="0"/>
                    </a:moveTo>
                    <a:lnTo>
                      <a:pt x="642340" y="0"/>
                    </a:lnTo>
                    <a:cubicBezTo>
                      <a:pt x="662650" y="0"/>
                      <a:pt x="682128" y="8068"/>
                      <a:pt x="696489" y="22429"/>
                    </a:cubicBezTo>
                    <a:cubicBezTo>
                      <a:pt x="710850" y="36791"/>
                      <a:pt x="718918" y="56269"/>
                      <a:pt x="718918" y="76578"/>
                    </a:cubicBezTo>
                    <a:lnTo>
                      <a:pt x="718918" y="296826"/>
                    </a:lnTo>
                    <a:cubicBezTo>
                      <a:pt x="718918" y="317136"/>
                      <a:pt x="710850" y="336614"/>
                      <a:pt x="696489" y="350975"/>
                    </a:cubicBezTo>
                    <a:cubicBezTo>
                      <a:pt x="682128" y="365337"/>
                      <a:pt x="662650" y="373405"/>
                      <a:pt x="642340" y="373405"/>
                    </a:cubicBezTo>
                    <a:lnTo>
                      <a:pt x="76578" y="373405"/>
                    </a:lnTo>
                    <a:cubicBezTo>
                      <a:pt x="56269" y="373405"/>
                      <a:pt x="36791" y="365337"/>
                      <a:pt x="22429" y="350975"/>
                    </a:cubicBezTo>
                    <a:cubicBezTo>
                      <a:pt x="8068" y="336614"/>
                      <a:pt x="0" y="317136"/>
                      <a:pt x="0" y="296826"/>
                    </a:cubicBezTo>
                    <a:lnTo>
                      <a:pt x="0" y="76578"/>
                    </a:lnTo>
                    <a:cubicBezTo>
                      <a:pt x="0" y="56269"/>
                      <a:pt x="8068" y="36791"/>
                      <a:pt x="22429" y="22429"/>
                    </a:cubicBezTo>
                    <a:cubicBezTo>
                      <a:pt x="36791" y="8068"/>
                      <a:pt x="56269" y="0"/>
                      <a:pt x="76578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31" name="TextBox 9">
                <a:extLst>
                  <a:ext uri="{FF2B5EF4-FFF2-40B4-BE49-F238E27FC236}">
                    <a16:creationId xmlns:a16="http://schemas.microsoft.com/office/drawing/2014/main" id="{9A522BB4-CDDB-BBDC-90A4-DD983D68D29F}"/>
                  </a:ext>
                </a:extLst>
              </xdr:cNvPr>
              <xdr:cNvSpPr txBox="1"/>
            </xdr:nvSpPr>
            <xdr:spPr>
              <a:xfrm>
                <a:off x="0" y="-28575"/>
                <a:ext cx="718918" cy="401980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  <a:spcBef>
                    <a:spcPct val="0"/>
                  </a:spcBef>
                </a:pPr>
                <a:endParaRPr/>
              </a:p>
            </xdr:txBody>
          </xdr:sp>
        </xdr:grpSp>
        <xdr:sp macro="" textlink="">
          <xdr:nvSpPr>
            <xdr:cNvPr id="26" name="TextBox 8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4E29B322-EF23-7D3F-3B03-4EA2C326B9D9}"/>
                </a:ext>
              </a:extLst>
            </xdr:cNvPr>
            <xdr:cNvSpPr txBox="1"/>
          </xdr:nvSpPr>
          <xdr:spPr>
            <a:xfrm>
              <a:off x="3216343" y="1032428"/>
              <a:ext cx="2429241" cy="526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3919"/>
                </a:lnSpc>
              </a:pPr>
              <a:r>
                <a:rPr lang="en-US" sz="4400" b="1">
                  <a:solidFill>
                    <a:srgbClr val="FFFFFF"/>
                  </a:solidFill>
                  <a:latin typeface="Sukar Heavy"/>
                  <a:ea typeface="Sukar Heavy"/>
                  <a:cs typeface="Sukar Heavy"/>
                  <a:sym typeface="Sukar Heavy"/>
                </a:rPr>
                <a:t>$570.37 </a:t>
              </a:r>
            </a:p>
          </xdr:txBody>
        </xdr:sp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4E40BDF4-6647-3F9D-6810-33D3034FC6F5}"/>
                </a:ext>
              </a:extLst>
            </xdr:cNvPr>
            <xdr:cNvGrpSpPr/>
          </xdr:nvGrpSpPr>
          <xdr:grpSpPr>
            <a:xfrm>
              <a:off x="3205543" y="1739322"/>
              <a:ext cx="2489947" cy="295595"/>
              <a:chOff x="3418348" y="1630250"/>
              <a:chExt cx="1282406" cy="158231"/>
            </a:xfrm>
          </xdr:grpSpPr>
          <xdr:sp macro="" textlink="">
            <xdr:nvSpPr>
              <xdr:cNvPr id="28" name="Freeform 69">
                <a:extLst>
                  <a:ext uri="{FF2B5EF4-FFF2-40B4-BE49-F238E27FC236}">
                    <a16:creationId xmlns:a16="http://schemas.microsoft.com/office/drawing/2014/main" id="{C352585A-C247-7243-6C9F-1A75FF62829E}"/>
                  </a:ext>
                </a:extLst>
              </xdr:cNvPr>
              <xdr:cNvSpPr/>
            </xdr:nvSpPr>
            <xdr:spPr>
              <a:xfrm>
                <a:off x="3418348" y="1630250"/>
                <a:ext cx="131111" cy="131111"/>
              </a:xfrm>
              <a:custGeom>
                <a:avLst/>
                <a:gdLst/>
                <a:ahLst/>
                <a:cxnLst/>
                <a:rect l="l" t="t" r="r" b="b"/>
                <a:pathLst>
                  <a:path w="131111" h="131111">
                    <a:moveTo>
                      <a:pt x="0" y="0"/>
                    </a:moveTo>
                    <a:lnTo>
                      <a:pt x="131111" y="0"/>
                    </a:lnTo>
                    <a:lnTo>
                      <a:pt x="131111" y="131112"/>
                    </a:lnTo>
                    <a:lnTo>
                      <a:pt x="0" y="131112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9">
                  <a:extLst>
                    <a:ext uri="{96DAC541-7B7A-43D3-8B79-37D633B846F1}">
                      <asvg:svgBlip xmlns:asvg="http://schemas.microsoft.com/office/drawing/2016/SVG/main" r:embed="rId10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9" name="TextBox 89">
                <a:extLst>
                  <a:ext uri="{FF2B5EF4-FFF2-40B4-BE49-F238E27FC236}">
                    <a16:creationId xmlns:a16="http://schemas.microsoft.com/office/drawing/2014/main" id="{081A9C26-5A1E-0401-C199-442467D827FC}"/>
                  </a:ext>
                </a:extLst>
              </xdr:cNvPr>
              <xdr:cNvSpPr txBox="1"/>
            </xdr:nvSpPr>
            <xdr:spPr>
              <a:xfrm>
                <a:off x="3588263" y="1652904"/>
                <a:ext cx="1112491" cy="135577"/>
              </a:xfrm>
              <a:prstGeom prst="rect">
                <a:avLst/>
              </a:prstGeom>
            </xdr:spPr>
            <xdr:txBody>
              <a:bodyPr wrap="square" lIns="0" tIns="0" rIns="0" bIns="0" rtlCol="0" anchor="ctr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2000">
                    <a:solidFill>
                      <a:srgbClr val="FFFF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Paid Difference</a:t>
                </a:r>
              </a:p>
            </xdr:txBody>
          </xdr:sp>
        </xdr:grpSp>
      </xdr:grpSp>
      <xdr:sp macro="" textlink="">
        <xdr:nvSpPr>
          <xdr:cNvPr id="24" name="TextBox 105">
            <a:extLst>
              <a:ext uri="{FF2B5EF4-FFF2-40B4-BE49-F238E27FC236}">
                <a16:creationId xmlns:a16="http://schemas.microsoft.com/office/drawing/2014/main" id="{61CA50E8-4C44-22C4-6EB6-E72FA19A06F3}"/>
              </a:ext>
            </a:extLst>
          </xdr:cNvPr>
          <xdr:cNvSpPr txBox="1"/>
        </xdr:nvSpPr>
        <xdr:spPr>
          <a:xfrm>
            <a:off x="5353940" y="1463269"/>
            <a:ext cx="579401" cy="214597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679"/>
              </a:lnSpc>
            </a:pPr>
            <a:r>
              <a:rPr lang="en-US" sz="1400" b="1">
                <a:solidFill>
                  <a:schemeClr val="bg1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1.99%</a:t>
            </a:r>
          </a:p>
        </xdr:txBody>
      </xdr:sp>
    </xdr:grpSp>
    <xdr:clientData/>
  </xdr:twoCellAnchor>
  <xdr:twoCellAnchor>
    <xdr:from>
      <xdr:col>12</xdr:col>
      <xdr:colOff>554230</xdr:colOff>
      <xdr:row>4</xdr:row>
      <xdr:rowOff>67793</xdr:rowOff>
    </xdr:from>
    <xdr:to>
      <xdr:col>18</xdr:col>
      <xdr:colOff>416544</xdr:colOff>
      <xdr:row>13</xdr:row>
      <xdr:rowOff>150619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A6E967E-5CFB-4D31-9A69-FD09858204DA}"/>
            </a:ext>
          </a:extLst>
        </xdr:cNvPr>
        <xdr:cNvGrpSpPr/>
      </xdr:nvGrpSpPr>
      <xdr:grpSpPr>
        <a:xfrm>
          <a:off x="7815642" y="829793"/>
          <a:ext cx="3493020" cy="1797326"/>
          <a:chOff x="7329810" y="683557"/>
          <a:chExt cx="3532589" cy="1797326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F47795AD-615E-32AB-CD86-61921A9AC2D8}"/>
              </a:ext>
            </a:extLst>
          </xdr:cNvPr>
          <xdr:cNvGrpSpPr/>
        </xdr:nvGrpSpPr>
        <xdr:grpSpPr>
          <a:xfrm>
            <a:off x="7329810" y="683557"/>
            <a:ext cx="3532589" cy="1797326"/>
            <a:chOff x="7307819" y="683557"/>
            <a:chExt cx="3520592" cy="1797326"/>
          </a:xfrm>
        </xdr:grpSpPr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F4EB6035-BAEC-CD07-11BE-466CCBD5DFF6}"/>
                </a:ext>
              </a:extLst>
            </xdr:cNvPr>
            <xdr:cNvGrpSpPr/>
          </xdr:nvGrpSpPr>
          <xdr:grpSpPr>
            <a:xfrm>
              <a:off x="7307819" y="683557"/>
              <a:ext cx="3520592" cy="1797326"/>
              <a:chOff x="7176826" y="896470"/>
              <a:chExt cx="3485816" cy="1797326"/>
            </a:xfrm>
          </xdr:grpSpPr>
          <xdr:grpSp>
            <xdr:nvGrpSpPr>
              <xdr:cNvPr id="37" name="Group 36">
                <a:extLst>
                  <a:ext uri="{FF2B5EF4-FFF2-40B4-BE49-F238E27FC236}">
                    <a16:creationId xmlns:a16="http://schemas.microsoft.com/office/drawing/2014/main" id="{482F8A0D-750C-D47F-DD30-AC8DE6206C04}"/>
                  </a:ext>
                </a:extLst>
              </xdr:cNvPr>
              <xdr:cNvGrpSpPr/>
            </xdr:nvGrpSpPr>
            <xdr:grpSpPr>
              <a:xfrm>
                <a:off x="7176826" y="896470"/>
                <a:ext cx="3485816" cy="1797326"/>
                <a:chOff x="0" y="-47625"/>
                <a:chExt cx="1345269" cy="904537"/>
              </a:xfrm>
            </xdr:grpSpPr>
            <xdr:sp macro="" textlink="">
              <xdr:nvSpPr>
                <xdr:cNvPr id="53" name="Freeform 67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479CB109-0603-4B59-5268-B476AF0982C4}"/>
                    </a:ext>
                  </a:extLst>
                </xdr:cNvPr>
                <xdr:cNvSpPr/>
              </xdr:nvSpPr>
              <xdr:spPr>
                <a:xfrm>
                  <a:off x="0" y="0"/>
                  <a:ext cx="1345269" cy="8569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45269" h="856912">
                      <a:moveTo>
                        <a:pt x="34785" y="0"/>
                      </a:moveTo>
                      <a:lnTo>
                        <a:pt x="1310483" y="0"/>
                      </a:lnTo>
                      <a:cubicBezTo>
                        <a:pt x="1319709" y="0"/>
                        <a:pt x="1328557" y="3665"/>
                        <a:pt x="1335080" y="10188"/>
                      </a:cubicBezTo>
                      <a:cubicBezTo>
                        <a:pt x="1341604" y="16712"/>
                        <a:pt x="1345269" y="25560"/>
                        <a:pt x="1345269" y="34785"/>
                      </a:cubicBezTo>
                      <a:lnTo>
                        <a:pt x="1345269" y="822127"/>
                      </a:lnTo>
                      <a:cubicBezTo>
                        <a:pt x="1345269" y="831352"/>
                        <a:pt x="1341604" y="840200"/>
                        <a:pt x="1335080" y="846724"/>
                      </a:cubicBezTo>
                      <a:cubicBezTo>
                        <a:pt x="1328557" y="853247"/>
                        <a:pt x="1319709" y="856912"/>
                        <a:pt x="1310483" y="856912"/>
                      </a:cubicBezTo>
                      <a:lnTo>
                        <a:pt x="34785" y="856912"/>
                      </a:lnTo>
                      <a:cubicBezTo>
                        <a:pt x="25560" y="856912"/>
                        <a:pt x="16712" y="853247"/>
                        <a:pt x="10188" y="846724"/>
                      </a:cubicBezTo>
                      <a:cubicBezTo>
                        <a:pt x="3665" y="840200"/>
                        <a:pt x="0" y="831352"/>
                        <a:pt x="0" y="822127"/>
                      </a:cubicBezTo>
                      <a:lnTo>
                        <a:pt x="0" y="34785"/>
                      </a:lnTo>
                      <a:cubicBezTo>
                        <a:pt x="0" y="25560"/>
                        <a:pt x="3665" y="16712"/>
                        <a:pt x="10188" y="10188"/>
                      </a:cubicBezTo>
                      <a:cubicBezTo>
                        <a:pt x="16712" y="3665"/>
                        <a:pt x="25560" y="0"/>
                        <a:pt x="34785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54" name="TextBox 68">
                  <a:extLst>
                    <a:ext uri="{FF2B5EF4-FFF2-40B4-BE49-F238E27FC236}">
                      <a16:creationId xmlns:a16="http://schemas.microsoft.com/office/drawing/2014/main" id="{65B14E0D-AF57-0AAC-FF8E-E7A1DE9471AB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345268" cy="904537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38" name="TextBox 151">
                <a:extLst>
                  <a:ext uri="{FF2B5EF4-FFF2-40B4-BE49-F238E27FC236}">
                    <a16:creationId xmlns:a16="http://schemas.microsoft.com/office/drawing/2014/main" id="{839C6C21-E67E-3A52-C78B-17C827DCB9A6}"/>
                  </a:ext>
                </a:extLst>
              </xdr:cNvPr>
              <xdr:cNvSpPr txBox="1"/>
            </xdr:nvSpPr>
            <xdr:spPr>
              <a:xfrm>
                <a:off x="8080343" y="1175634"/>
                <a:ext cx="1535585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Latest</a:t>
                </a:r>
                <a:r>
                  <a:rPr lang="en-US" sz="1599" b="1" baseline="0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 Payment</a:t>
                </a:r>
                <a:endPara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endParaRPr>
              </a:p>
            </xdr:txBody>
          </xdr:sp>
          <xdr:sp macro="" textlink="">
            <xdr:nvSpPr>
              <xdr:cNvPr id="39" name="TextBox 153">
                <a:hlinkClick xmlns:r="http://schemas.openxmlformats.org/officeDocument/2006/relationships" r:id="rId12"/>
                <a:extLst>
                  <a:ext uri="{FF2B5EF4-FFF2-40B4-BE49-F238E27FC236}">
                    <a16:creationId xmlns:a16="http://schemas.microsoft.com/office/drawing/2014/main" id="{F5567C41-2777-BAA5-76A1-80C2705F3565}"/>
                  </a:ext>
                </a:extLst>
              </xdr:cNvPr>
              <xdr:cNvSpPr txBox="1"/>
            </xdr:nvSpPr>
            <xdr:spPr>
              <a:xfrm>
                <a:off x="8080343" y="1580156"/>
                <a:ext cx="1068811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$ 29,229.57 </a:t>
                </a:r>
              </a:p>
            </xdr:txBody>
          </xdr:sp>
          <xdr:sp macro="" textlink="">
            <xdr:nvSpPr>
              <xdr:cNvPr id="40" name="TextBox 154">
                <a:extLst>
                  <a:ext uri="{FF2B5EF4-FFF2-40B4-BE49-F238E27FC236}">
                    <a16:creationId xmlns:a16="http://schemas.microsoft.com/office/drawing/2014/main" id="{382C5F54-7D6F-F532-D44F-37802E81F3D0}"/>
                  </a:ext>
                </a:extLst>
              </xdr:cNvPr>
              <xdr:cNvSpPr txBox="1"/>
            </xdr:nvSpPr>
            <xdr:spPr>
              <a:xfrm>
                <a:off x="8069135" y="1898666"/>
                <a:ext cx="1762009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Previous Payment</a:t>
                </a:r>
              </a:p>
            </xdr:txBody>
          </xdr:sp>
          <xdr:sp macro="" textlink="">
            <xdr:nvSpPr>
              <xdr:cNvPr id="41" name="TextBox 156">
                <a:hlinkClick xmlns:r="http://schemas.openxmlformats.org/officeDocument/2006/relationships" r:id="rId13"/>
                <a:extLst>
                  <a:ext uri="{FF2B5EF4-FFF2-40B4-BE49-F238E27FC236}">
                    <a16:creationId xmlns:a16="http://schemas.microsoft.com/office/drawing/2014/main" id="{8A3736EB-B34C-1FB4-AD81-D96BF7B94312}"/>
                  </a:ext>
                </a:extLst>
              </xdr:cNvPr>
              <xdr:cNvSpPr txBox="1"/>
            </xdr:nvSpPr>
            <xdr:spPr>
              <a:xfrm>
                <a:off x="8069135" y="2301277"/>
                <a:ext cx="1104535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 b="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$ 28,659.21 </a:t>
                </a:r>
                <a:endParaRPr lang="en-US" sz="1400">
                  <a:solidFill>
                    <a:srgbClr val="00BF63"/>
                  </a:solidFill>
                  <a:latin typeface="Poppins"/>
                  <a:ea typeface="Poppins"/>
                  <a:cs typeface="Poppins"/>
                  <a:sym typeface="Poppins"/>
                </a:endParaRPr>
              </a:p>
            </xdr:txBody>
          </xdr:sp>
          <xdr:grpSp>
            <xdr:nvGrpSpPr>
              <xdr:cNvPr id="42" name="Group 41">
                <a:extLst>
                  <a:ext uri="{FF2B5EF4-FFF2-40B4-BE49-F238E27FC236}">
                    <a16:creationId xmlns:a16="http://schemas.microsoft.com/office/drawing/2014/main" id="{AFA6A882-86AF-3B85-3C5C-D81806B326EF}"/>
                  </a:ext>
                </a:extLst>
              </xdr:cNvPr>
              <xdr:cNvGrpSpPr/>
            </xdr:nvGrpSpPr>
            <xdr:grpSpPr>
              <a:xfrm>
                <a:off x="7450746" y="1138670"/>
                <a:ext cx="638938" cy="1257540"/>
                <a:chOff x="7483834" y="1138670"/>
                <a:chExt cx="643128" cy="1257540"/>
              </a:xfrm>
            </xdr:grpSpPr>
            <xdr:grpSp>
              <xdr:nvGrpSpPr>
                <xdr:cNvPr id="43" name="Group 42">
                  <a:extLst>
                    <a:ext uri="{FF2B5EF4-FFF2-40B4-BE49-F238E27FC236}">
                      <a16:creationId xmlns:a16="http://schemas.microsoft.com/office/drawing/2014/main" id="{FA620BA4-3D97-5043-83A5-A7D494B8B35B}"/>
                    </a:ext>
                  </a:extLst>
                </xdr:cNvPr>
                <xdr:cNvGrpSpPr/>
              </xdr:nvGrpSpPr>
              <xdr:grpSpPr>
                <a:xfrm>
                  <a:off x="7483834" y="1138670"/>
                  <a:ext cx="640697" cy="557582"/>
                  <a:chOff x="7483834" y="1138670"/>
                  <a:chExt cx="640697" cy="557582"/>
                </a:xfrm>
              </xdr:grpSpPr>
              <xdr:grpSp>
                <xdr:nvGrpSpPr>
                  <xdr:cNvPr id="49" name="Group 48">
                    <a:extLst>
                      <a:ext uri="{FF2B5EF4-FFF2-40B4-BE49-F238E27FC236}">
                        <a16:creationId xmlns:a16="http://schemas.microsoft.com/office/drawing/2014/main" id="{908A56D3-95A8-3708-A1FD-602AF12D6944}"/>
                      </a:ext>
                    </a:extLst>
                  </xdr:cNvPr>
                  <xdr:cNvGrpSpPr/>
                </xdr:nvGrpSpPr>
                <xdr:grpSpPr>
                  <a:xfrm>
                    <a:off x="7483834" y="1138670"/>
                    <a:ext cx="640697" cy="557582"/>
                    <a:chOff x="-79808" y="-47625"/>
                    <a:chExt cx="251512" cy="222411"/>
                  </a:xfrm>
                </xdr:grpSpPr>
                <xdr:sp macro="" textlink="">
                  <xdr:nvSpPr>
                    <xdr:cNvPr id="51" name="Freeform 71">
                      <a:extLst>
                        <a:ext uri="{FF2B5EF4-FFF2-40B4-BE49-F238E27FC236}">
                          <a16:creationId xmlns:a16="http://schemas.microsoft.com/office/drawing/2014/main" id="{622FE9A2-7FDF-6832-9A6C-FFCABC39FF5C}"/>
                        </a:ext>
                      </a:extLst>
                    </xdr:cNvPr>
                    <xdr:cNvSpPr/>
                  </xdr:nvSpPr>
                  <xdr:spPr>
                    <a:xfrm>
                      <a:off x="-79808" y="3082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52" name="TextBox 72">
                      <a:extLst>
                        <a:ext uri="{FF2B5EF4-FFF2-40B4-BE49-F238E27FC236}">
                          <a16:creationId xmlns:a16="http://schemas.microsoft.com/office/drawing/2014/main" id="{DF9479AE-B762-22B2-9B73-6798D8E0CFAE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50" name="Freeform 109">
                    <a:extLst>
                      <a:ext uri="{FF2B5EF4-FFF2-40B4-BE49-F238E27FC236}">
                        <a16:creationId xmlns:a16="http://schemas.microsoft.com/office/drawing/2014/main" id="{ED5E568E-AEBA-719E-810B-9D87BC3867F7}"/>
                      </a:ext>
                    </a:extLst>
                  </xdr:cNvPr>
                  <xdr:cNvSpPr/>
                </xdr:nvSpPr>
                <xdr:spPr>
                  <a:xfrm>
                    <a:off x="7594834" y="1354645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4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  <xdr:grpSp>
              <xdr:nvGrpSpPr>
                <xdr:cNvPr id="44" name="Group 43">
                  <a:extLst>
                    <a:ext uri="{FF2B5EF4-FFF2-40B4-BE49-F238E27FC236}">
                      <a16:creationId xmlns:a16="http://schemas.microsoft.com/office/drawing/2014/main" id="{37945BD3-D74D-61D5-0C34-66ABE8E90560}"/>
                    </a:ext>
                  </a:extLst>
                </xdr:cNvPr>
                <xdr:cNvGrpSpPr/>
              </xdr:nvGrpSpPr>
              <xdr:grpSpPr>
                <a:xfrm>
                  <a:off x="7486255" y="1846356"/>
                  <a:ext cx="640707" cy="549854"/>
                  <a:chOff x="7483824" y="1138670"/>
                  <a:chExt cx="640707" cy="549854"/>
                </a:xfrm>
              </xdr:grpSpPr>
              <xdr:grpSp>
                <xdr:nvGrpSpPr>
                  <xdr:cNvPr id="45" name="Group 44">
                    <a:extLst>
                      <a:ext uri="{FF2B5EF4-FFF2-40B4-BE49-F238E27FC236}">
                        <a16:creationId xmlns:a16="http://schemas.microsoft.com/office/drawing/2014/main" id="{B087B24D-44FD-7DFE-A971-2879E776BDDD}"/>
                      </a:ext>
                    </a:extLst>
                  </xdr:cNvPr>
                  <xdr:cNvGrpSpPr/>
                </xdr:nvGrpSpPr>
                <xdr:grpSpPr>
                  <a:xfrm>
                    <a:off x="7483824" y="1138670"/>
                    <a:ext cx="640707" cy="549854"/>
                    <a:chOff x="-79812" y="-47625"/>
                    <a:chExt cx="251516" cy="219329"/>
                  </a:xfrm>
                </xdr:grpSpPr>
                <xdr:sp macro="" textlink="">
                  <xdr:nvSpPr>
                    <xdr:cNvPr id="47" name="Freeform 71">
                      <a:extLst>
                        <a:ext uri="{FF2B5EF4-FFF2-40B4-BE49-F238E27FC236}">
                          <a16:creationId xmlns:a16="http://schemas.microsoft.com/office/drawing/2014/main" id="{7E8EACAA-987F-E6F5-A2ED-2B8D11927D4F}"/>
                        </a:ext>
                      </a:extLst>
                    </xdr:cNvPr>
                    <xdr:cNvSpPr/>
                  </xdr:nvSpPr>
                  <xdr:spPr>
                    <a:xfrm>
                      <a:off x="-79812" y="0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48" name="TextBox 72">
                      <a:extLst>
                        <a:ext uri="{FF2B5EF4-FFF2-40B4-BE49-F238E27FC236}">
                          <a16:creationId xmlns:a16="http://schemas.microsoft.com/office/drawing/2014/main" id="{92602ECF-B66A-A19A-5D9B-2AF6CDB0C2AD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46" name="Freeform 109">
                    <a:extLst>
                      <a:ext uri="{FF2B5EF4-FFF2-40B4-BE49-F238E27FC236}">
                        <a16:creationId xmlns:a16="http://schemas.microsoft.com/office/drawing/2014/main" id="{4D8A82F3-6490-3EB2-4935-8FB1C4465BD1}"/>
                      </a:ext>
                    </a:extLst>
                  </xdr:cNvPr>
                  <xdr:cNvSpPr/>
                </xdr:nvSpPr>
                <xdr:spPr>
                  <a:xfrm>
                    <a:off x="7594824" y="1346918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4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</xdr:grpSp>
        </xdr:grpSp>
        <xdr:sp macro="" textlink="">
          <xdr:nvSpPr>
            <xdr:cNvPr id="36" name="TextBox 156">
              <a:extLst>
                <a:ext uri="{FF2B5EF4-FFF2-40B4-BE49-F238E27FC236}">
                  <a16:creationId xmlns:a16="http://schemas.microsoft.com/office/drawing/2014/main" id="{5F431D21-3735-9CB7-7222-9DDAF3EC1D9A}"/>
                </a:ext>
              </a:extLst>
            </xdr:cNvPr>
            <xdr:cNvSpPr txBox="1"/>
          </xdr:nvSpPr>
          <xdr:spPr>
            <a:xfrm>
              <a:off x="8217985" y="1174046"/>
              <a:ext cx="2038105" cy="2076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050" b="0">
                  <a:solidFill>
                    <a:schemeClr val="bg2">
                      <a:lumMod val="50000"/>
                    </a:schemeClr>
                  </a:solidFill>
                  <a:latin typeface="Poppins"/>
                  <a:ea typeface="Poppins"/>
                  <a:cs typeface="Poppins"/>
                  <a:sym typeface="Poppins"/>
                </a:rPr>
                <a:t>VDP_DIV5_1021_1103_FINAL</a:t>
              </a:r>
              <a:endParaRPr lang="en-US" sz="105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endParaRPr>
            </a:p>
          </xdr:txBody>
        </xdr:sp>
      </xdr:grpSp>
      <xdr:sp macro="" textlink="">
        <xdr:nvSpPr>
          <xdr:cNvPr id="34" name="TextBox 156">
            <a:extLst>
              <a:ext uri="{FF2B5EF4-FFF2-40B4-BE49-F238E27FC236}">
                <a16:creationId xmlns:a16="http://schemas.microsoft.com/office/drawing/2014/main" id="{8F2A496E-1A54-9CA1-6016-DC84DCC344ED}"/>
              </a:ext>
            </a:extLst>
          </xdr:cNvPr>
          <xdr:cNvSpPr txBox="1"/>
        </xdr:nvSpPr>
        <xdr:spPr>
          <a:xfrm>
            <a:off x="8226396" y="1892499"/>
            <a:ext cx="2479347" cy="2076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050" b="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rPr>
              <a:t>DONE-VDP_DIV5_1007_1020_FINAL</a:t>
            </a:r>
            <a:endParaRPr lang="en-US" sz="1050">
              <a:solidFill>
                <a:schemeClr val="bg2">
                  <a:lumMod val="50000"/>
                </a:schemeClr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</xdr:grpSp>
    <xdr:clientData/>
  </xdr:twoCellAnchor>
  <xdr:twoCellAnchor>
    <xdr:from>
      <xdr:col>12</xdr:col>
      <xdr:colOff>410583</xdr:colOff>
      <xdr:row>17</xdr:row>
      <xdr:rowOff>140996</xdr:rowOff>
    </xdr:from>
    <xdr:to>
      <xdr:col>13</xdr:col>
      <xdr:colOff>380594</xdr:colOff>
      <xdr:row>20</xdr:row>
      <xdr:rowOff>148874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EB589056-9EF7-4F56-A59F-4AEAE0CB2A4F}"/>
            </a:ext>
          </a:extLst>
        </xdr:cNvPr>
        <xdr:cNvGrpSpPr/>
      </xdr:nvGrpSpPr>
      <xdr:grpSpPr>
        <a:xfrm>
          <a:off x="7671995" y="3379496"/>
          <a:ext cx="575128" cy="579378"/>
          <a:chOff x="7736174" y="4061491"/>
          <a:chExt cx="580477" cy="579378"/>
        </a:xfrm>
      </xdr:grpSpPr>
      <xdr:pic>
        <xdr:nvPicPr>
          <xdr:cNvPr id="97" name="Picture 96">
            <a:extLst>
              <a:ext uri="{FF2B5EF4-FFF2-40B4-BE49-F238E27FC236}">
                <a16:creationId xmlns:a16="http://schemas.microsoft.com/office/drawing/2014/main" id="{AC6AFA28-A0BD-DC4B-FD96-9C786E03FD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7736174" y="4061491"/>
            <a:ext cx="580477" cy="579378"/>
          </a:xfrm>
          <a:prstGeom prst="rect">
            <a:avLst/>
          </a:prstGeom>
        </xdr:spPr>
      </xdr:pic>
      <xdr:sp macro="" textlink="">
        <xdr:nvSpPr>
          <xdr:cNvPr id="98" name="Freeform 33">
            <a:extLst>
              <a:ext uri="{FF2B5EF4-FFF2-40B4-BE49-F238E27FC236}">
                <a16:creationId xmlns:a16="http://schemas.microsoft.com/office/drawing/2014/main" id="{FBE5EE11-B404-686A-9F68-379B4CCADE8D}"/>
              </a:ext>
            </a:extLst>
          </xdr:cNvPr>
          <xdr:cNvSpPr/>
        </xdr:nvSpPr>
        <xdr:spPr>
          <a:xfrm>
            <a:off x="7835025" y="4160155"/>
            <a:ext cx="382776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99" name="Freeform 84">
            <a:extLst>
              <a:ext uri="{FF2B5EF4-FFF2-40B4-BE49-F238E27FC236}">
                <a16:creationId xmlns:a16="http://schemas.microsoft.com/office/drawing/2014/main" id="{A3F3905F-C4E4-E5CE-1196-46ACAF9AA311}"/>
              </a:ext>
            </a:extLst>
          </xdr:cNvPr>
          <xdr:cNvSpPr/>
        </xdr:nvSpPr>
        <xdr:spPr>
          <a:xfrm>
            <a:off x="7894997" y="4226460"/>
            <a:ext cx="256746" cy="253224"/>
          </a:xfrm>
          <a:custGeom>
            <a:avLst/>
            <a:gdLst/>
            <a:ahLst/>
            <a:cxnLst/>
            <a:rect l="l" t="t" r="r" b="b"/>
            <a:pathLst>
              <a:path w="253224" h="253224">
                <a:moveTo>
                  <a:pt x="0" y="0"/>
                </a:moveTo>
                <a:lnTo>
                  <a:pt x="253224" y="0"/>
                </a:lnTo>
                <a:lnTo>
                  <a:pt x="253224" y="253224"/>
                </a:lnTo>
                <a:lnTo>
                  <a:pt x="0" y="253224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6">
              <a:extLst>
                <a:ext uri="{96DAC541-7B7A-43D3-8B79-37D633B846F1}">
                  <asvg:svgBlip xmlns:asvg="http://schemas.microsoft.com/office/drawing/2016/SVG/main" r:embed="rId17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20</xdr:col>
      <xdr:colOff>84827</xdr:colOff>
      <xdr:row>3</xdr:row>
      <xdr:rowOff>97943</xdr:rowOff>
    </xdr:from>
    <xdr:to>
      <xdr:col>27</xdr:col>
      <xdr:colOff>443925</xdr:colOff>
      <xdr:row>39</xdr:row>
      <xdr:rowOff>97943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2490AA32-61B2-456E-8B64-70D7C9DCE7B0}"/>
            </a:ext>
          </a:extLst>
        </xdr:cNvPr>
        <xdr:cNvGrpSpPr/>
      </xdr:nvGrpSpPr>
      <xdr:grpSpPr>
        <a:xfrm>
          <a:off x="12187180" y="669443"/>
          <a:ext cx="4594921" cy="6858000"/>
          <a:chOff x="12398054" y="686761"/>
          <a:chExt cx="4602053" cy="6858000"/>
        </a:xfrm>
      </xdr:grpSpPr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CFCAABA2-AFB4-8458-F99D-9DB614A0A6C8}"/>
              </a:ext>
            </a:extLst>
          </xdr:cNvPr>
          <xdr:cNvGrpSpPr/>
        </xdr:nvGrpSpPr>
        <xdr:grpSpPr>
          <a:xfrm>
            <a:off x="12398054" y="686761"/>
            <a:ext cx="4602053" cy="6858000"/>
            <a:chOff x="2162175" y="2771180"/>
            <a:chExt cx="4629763" cy="4276053"/>
          </a:xfrm>
        </xdr:grpSpPr>
        <xdr:grpSp>
          <xdr:nvGrpSpPr>
            <xdr:cNvPr id="124" name="Group 123">
              <a:extLst>
                <a:ext uri="{FF2B5EF4-FFF2-40B4-BE49-F238E27FC236}">
                  <a16:creationId xmlns:a16="http://schemas.microsoft.com/office/drawing/2014/main" id="{0455B2FB-016C-2A48-A6E2-0C8786D07F78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131" name="Freeform 29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AC189191-6EA0-11F9-9F43-F2AA86DEDB8D}"/>
                  </a:ext>
                </a:extLst>
              </xdr:cNvPr>
              <xdr:cNvSpPr/>
            </xdr:nvSpPr>
            <xdr:spPr>
              <a:xfrm>
                <a:off x="0" y="0"/>
                <a:ext cx="1646138" cy="778330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132" name="TextBox 30">
                <a:extLst>
                  <a:ext uri="{FF2B5EF4-FFF2-40B4-BE49-F238E27FC236}">
                    <a16:creationId xmlns:a16="http://schemas.microsoft.com/office/drawing/2014/main" id="{26226F1D-C83C-95FF-31D6-9E49FDAE0EFF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125" name="TextBox 34">
              <a:extLst>
                <a:ext uri="{FF2B5EF4-FFF2-40B4-BE49-F238E27FC236}">
                  <a16:creationId xmlns:a16="http://schemas.microsoft.com/office/drawing/2014/main" id="{E4256DAA-FD12-D565-A7CA-948A96BB0C31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26" name="TextBox 39">
              <a:extLst>
                <a:ext uri="{FF2B5EF4-FFF2-40B4-BE49-F238E27FC236}">
                  <a16:creationId xmlns:a16="http://schemas.microsoft.com/office/drawing/2014/main" id="{E5519B16-8790-7EE9-0C0C-4CEC7D6EA98E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27" name="TextBox 44">
              <a:extLst>
                <a:ext uri="{FF2B5EF4-FFF2-40B4-BE49-F238E27FC236}">
                  <a16:creationId xmlns:a16="http://schemas.microsoft.com/office/drawing/2014/main" id="{CB914760-60D3-5E58-F73A-CB339601D56F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29" name="TextBox 80">
              <a:extLst>
                <a:ext uri="{FF2B5EF4-FFF2-40B4-BE49-F238E27FC236}">
                  <a16:creationId xmlns:a16="http://schemas.microsoft.com/office/drawing/2014/main" id="{65D88610-0219-0CB2-F63F-C870714C1EB0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30" name="TextBox 87">
              <a:extLst>
                <a:ext uri="{FF2B5EF4-FFF2-40B4-BE49-F238E27FC236}">
                  <a16:creationId xmlns:a16="http://schemas.microsoft.com/office/drawing/2014/main" id="{5AD08DA0-9E1B-88AD-E4C2-8F5099E05EF6}"/>
                </a:ext>
              </a:extLst>
            </xdr:cNvPr>
            <xdr:cNvSpPr txBox="1"/>
          </xdr:nvSpPr>
          <xdr:spPr>
            <a:xfrm>
              <a:off x="3106046" y="3167501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B417C694-40FC-FADD-775D-40BA5A9179C4}"/>
              </a:ext>
            </a:extLst>
          </xdr:cNvPr>
          <xdr:cNvGrpSpPr/>
        </xdr:nvGrpSpPr>
        <xdr:grpSpPr>
          <a:xfrm>
            <a:off x="12644584" y="1157408"/>
            <a:ext cx="575915" cy="579378"/>
            <a:chOff x="12691445" y="653143"/>
            <a:chExt cx="574896" cy="579378"/>
          </a:xfrm>
        </xdr:grpSpPr>
        <xdr:pic>
          <xdr:nvPicPr>
            <xdr:cNvPr id="121" name="Picture 120">
              <a:extLst>
                <a:ext uri="{FF2B5EF4-FFF2-40B4-BE49-F238E27FC236}">
                  <a16:creationId xmlns:a16="http://schemas.microsoft.com/office/drawing/2014/main" id="{A837EF4E-A3D5-7AA5-C405-F4A6146EDC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2691445" y="653143"/>
              <a:ext cx="574896" cy="579378"/>
            </a:xfrm>
            <a:prstGeom prst="rect">
              <a:avLst/>
            </a:prstGeom>
          </xdr:spPr>
        </xdr:pic>
        <xdr:sp macro="" textlink="">
          <xdr:nvSpPr>
            <xdr:cNvPr id="122" name="Freeform 33">
              <a:extLst>
                <a:ext uri="{FF2B5EF4-FFF2-40B4-BE49-F238E27FC236}">
                  <a16:creationId xmlns:a16="http://schemas.microsoft.com/office/drawing/2014/main" id="{A22BB4C2-CA69-6844-6984-FE84D31A981F}"/>
                </a:ext>
              </a:extLst>
            </xdr:cNvPr>
            <xdr:cNvSpPr/>
          </xdr:nvSpPr>
          <xdr:spPr>
            <a:xfrm>
              <a:off x="12790333" y="751807"/>
              <a:ext cx="377121" cy="382051"/>
            </a:xfrm>
            <a:custGeom>
              <a:avLst/>
              <a:gdLst/>
              <a:ahLst/>
              <a:cxnLst/>
              <a:rect l="l" t="t" r="r" b="b"/>
              <a:pathLst>
                <a:path w="812800" h="812800">
                  <a:moveTo>
                    <a:pt x="406400" y="0"/>
                  </a:moveTo>
                  <a:cubicBezTo>
                    <a:pt x="181951" y="0"/>
                    <a:pt x="0" y="181951"/>
                    <a:pt x="0" y="406400"/>
                  </a:cubicBezTo>
                  <a:cubicBezTo>
                    <a:pt x="0" y="630849"/>
                    <a:pt x="181951" y="812800"/>
                    <a:pt x="406400" y="812800"/>
                  </a:cubicBezTo>
                  <a:cubicBezTo>
                    <a:pt x="630849" y="812800"/>
                    <a:pt x="812800" y="630849"/>
                    <a:pt x="812800" y="406400"/>
                  </a:cubicBezTo>
                  <a:cubicBezTo>
                    <a:pt x="812800" y="181951"/>
                    <a:pt x="630849" y="0"/>
                    <a:pt x="406400" y="0"/>
                  </a:cubicBezTo>
                  <a:close/>
                </a:path>
              </a:pathLst>
            </a:custGeom>
            <a:gradFill rotWithShape="1">
              <a:gsLst>
                <a:gs pos="0">
                  <a:srgbClr val="38B6FF">
                    <a:alpha val="100000"/>
                  </a:srgbClr>
                </a:gs>
                <a:gs pos="100000">
                  <a:srgbClr val="44489A">
                    <a:alpha val="100000"/>
                  </a:srgbClr>
                </a:gs>
              </a:gsLst>
              <a:lin ang="2700000"/>
            </a:grad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23" name="Freeform 81">
              <a:extLst>
                <a:ext uri="{FF2B5EF4-FFF2-40B4-BE49-F238E27FC236}">
                  <a16:creationId xmlns:a16="http://schemas.microsoft.com/office/drawing/2014/main" id="{A966864F-F97C-3B5E-E5B5-6EA716921AD2}"/>
                </a:ext>
              </a:extLst>
            </xdr:cNvPr>
            <xdr:cNvSpPr/>
          </xdr:nvSpPr>
          <xdr:spPr>
            <a:xfrm>
              <a:off x="12897805" y="826872"/>
              <a:ext cx="168815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9">
                <a:extLst>
                  <a:ext uri="{96DAC541-7B7A-43D3-8B79-37D633B846F1}">
                    <asvg:svgBlip xmlns:asvg="http://schemas.microsoft.com/office/drawing/2016/SVG/main" r:embed="rId2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28</xdr:col>
      <xdr:colOff>329568</xdr:colOff>
      <xdr:row>3</xdr:row>
      <xdr:rowOff>101684</xdr:rowOff>
    </xdr:from>
    <xdr:to>
      <xdr:col>36</xdr:col>
      <xdr:colOff>82528</xdr:colOff>
      <xdr:row>39</xdr:row>
      <xdr:rowOff>101684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3998278-5B63-6E07-E226-E2750030710A}"/>
            </a:ext>
          </a:extLst>
        </xdr:cNvPr>
        <xdr:cNvGrpSpPr/>
      </xdr:nvGrpSpPr>
      <xdr:grpSpPr>
        <a:xfrm>
          <a:off x="17272862" y="673184"/>
          <a:ext cx="4593901" cy="6858000"/>
          <a:chOff x="17474568" y="673184"/>
          <a:chExt cx="4651531" cy="6858000"/>
        </a:xfrm>
      </xdr:grpSpPr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CE68415F-31EA-4E2C-9FAA-05869692830E}"/>
              </a:ext>
            </a:extLst>
          </xdr:cNvPr>
          <xdr:cNvGrpSpPr/>
        </xdr:nvGrpSpPr>
        <xdr:grpSpPr>
          <a:xfrm>
            <a:off x="17474568" y="673184"/>
            <a:ext cx="4651531" cy="6858000"/>
            <a:chOff x="2162175" y="2771180"/>
            <a:chExt cx="4629763" cy="4276053"/>
          </a:xfrm>
        </xdr:grpSpPr>
        <xdr:grpSp>
          <xdr:nvGrpSpPr>
            <xdr:cNvPr id="101" name="Group 100">
              <a:extLst>
                <a:ext uri="{FF2B5EF4-FFF2-40B4-BE49-F238E27FC236}">
                  <a16:creationId xmlns:a16="http://schemas.microsoft.com/office/drawing/2014/main" id="{624EAFC7-6B3E-7ABC-D027-5D1DA6FBD2AA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108" name="Freeform 29">
                <a:hlinkClick xmlns:r="http://schemas.openxmlformats.org/officeDocument/2006/relationships" r:id="rId21"/>
                <a:extLst>
                  <a:ext uri="{FF2B5EF4-FFF2-40B4-BE49-F238E27FC236}">
                    <a16:creationId xmlns:a16="http://schemas.microsoft.com/office/drawing/2014/main" id="{EB1E060E-287F-4116-A182-645F539AF0FD}"/>
                  </a:ext>
                </a:extLst>
              </xdr:cNvPr>
              <xdr:cNvSpPr/>
            </xdr:nvSpPr>
            <xdr:spPr>
              <a:xfrm>
                <a:off x="0" y="0"/>
                <a:ext cx="1646138" cy="774484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109" name="TextBox 30">
                <a:extLst>
                  <a:ext uri="{FF2B5EF4-FFF2-40B4-BE49-F238E27FC236}">
                    <a16:creationId xmlns:a16="http://schemas.microsoft.com/office/drawing/2014/main" id="{6EFBE0C3-8C81-A92C-3F1F-333A954A7902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102" name="TextBox 34">
              <a:extLst>
                <a:ext uri="{FF2B5EF4-FFF2-40B4-BE49-F238E27FC236}">
                  <a16:creationId xmlns:a16="http://schemas.microsoft.com/office/drawing/2014/main" id="{B823B455-81A4-ECA7-1F05-205C3A1A55D1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03" name="TextBox 39">
              <a:extLst>
                <a:ext uri="{FF2B5EF4-FFF2-40B4-BE49-F238E27FC236}">
                  <a16:creationId xmlns:a16="http://schemas.microsoft.com/office/drawing/2014/main" id="{F31C78F7-27BD-F613-C511-CBB9F2882C4D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04" name="TextBox 44">
              <a:extLst>
                <a:ext uri="{FF2B5EF4-FFF2-40B4-BE49-F238E27FC236}">
                  <a16:creationId xmlns:a16="http://schemas.microsoft.com/office/drawing/2014/main" id="{78183E08-121B-215B-3994-E68A75539371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06" name="TextBox 80">
              <a:extLst>
                <a:ext uri="{FF2B5EF4-FFF2-40B4-BE49-F238E27FC236}">
                  <a16:creationId xmlns:a16="http://schemas.microsoft.com/office/drawing/2014/main" id="{9B710035-D477-74B5-50D5-E12F4C0572CB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07" name="TextBox 87">
              <a:extLst>
                <a:ext uri="{FF2B5EF4-FFF2-40B4-BE49-F238E27FC236}">
                  <a16:creationId xmlns:a16="http://schemas.microsoft.com/office/drawing/2014/main" id="{7B2C118E-4021-41FA-B3BB-CEFD6C7479DA}"/>
                </a:ext>
              </a:extLst>
            </xdr:cNvPr>
            <xdr:cNvSpPr txBox="1"/>
          </xdr:nvSpPr>
          <xdr:spPr>
            <a:xfrm>
              <a:off x="3193292" y="3158973"/>
              <a:ext cx="1716821" cy="1599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Hours</a:t>
              </a:r>
              <a:r>
                <a:rPr lang="en-US" sz="1400" b="1" baseline="0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 Operated</a:t>
              </a:r>
              <a:endParaRPr lang="en-US" sz="14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endParaRPr>
            </a:p>
          </xdr:txBody>
        </xdr:sp>
      </xdr:grpSp>
      <xdr:grpSp>
        <xdr:nvGrpSpPr>
          <xdr:cNvPr id="134" name="Group 133">
            <a:extLst>
              <a:ext uri="{FF2B5EF4-FFF2-40B4-BE49-F238E27FC236}">
                <a16:creationId xmlns:a16="http://schemas.microsoft.com/office/drawing/2014/main" id="{305F63D5-01C1-48E5-B883-7FE3E3F12006}"/>
              </a:ext>
            </a:extLst>
          </xdr:cNvPr>
          <xdr:cNvGrpSpPr/>
        </xdr:nvGrpSpPr>
        <xdr:grpSpPr>
          <a:xfrm>
            <a:off x="17772141" y="1137010"/>
            <a:ext cx="583691" cy="580384"/>
            <a:chOff x="17272862" y="673184"/>
            <a:chExt cx="575896" cy="580384"/>
          </a:xfrm>
        </xdr:grpSpPr>
        <xdr:pic>
          <xdr:nvPicPr>
            <xdr:cNvPr id="135" name="Picture 134">
              <a:extLst>
                <a:ext uri="{FF2B5EF4-FFF2-40B4-BE49-F238E27FC236}">
                  <a16:creationId xmlns:a16="http://schemas.microsoft.com/office/drawing/2014/main" id="{AC648AA6-217D-7557-ACFD-80EDA26A61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7272862" y="673184"/>
              <a:ext cx="575896" cy="580384"/>
            </a:xfrm>
            <a:prstGeom prst="rect">
              <a:avLst/>
            </a:prstGeom>
          </xdr:spPr>
        </xdr:pic>
        <xdr:sp macro="" textlink="">
          <xdr:nvSpPr>
            <xdr:cNvPr id="136" name="Freeform 38">
              <a:extLst>
                <a:ext uri="{FF2B5EF4-FFF2-40B4-BE49-F238E27FC236}">
                  <a16:creationId xmlns:a16="http://schemas.microsoft.com/office/drawing/2014/main" id="{EE5B5FC9-5254-14D6-D8C7-D2CAD154038E}"/>
                </a:ext>
              </a:extLst>
            </xdr:cNvPr>
            <xdr:cNvSpPr/>
          </xdr:nvSpPr>
          <xdr:spPr>
            <a:xfrm>
              <a:off x="17371446" y="772018"/>
              <a:ext cx="378727" cy="382714"/>
            </a:xfrm>
            <a:custGeom>
              <a:avLst/>
              <a:gdLst/>
              <a:ahLst/>
              <a:cxnLst/>
              <a:rect l="l" t="t" r="r" b="b"/>
              <a:pathLst>
                <a:path w="812800" h="812800">
                  <a:moveTo>
                    <a:pt x="406400" y="0"/>
                  </a:moveTo>
                  <a:cubicBezTo>
                    <a:pt x="181951" y="0"/>
                    <a:pt x="0" y="181951"/>
                    <a:pt x="0" y="406400"/>
                  </a:cubicBezTo>
                  <a:cubicBezTo>
                    <a:pt x="0" y="630849"/>
                    <a:pt x="181951" y="812800"/>
                    <a:pt x="406400" y="812800"/>
                  </a:cubicBezTo>
                  <a:cubicBezTo>
                    <a:pt x="630849" y="812800"/>
                    <a:pt x="812800" y="630849"/>
                    <a:pt x="812800" y="406400"/>
                  </a:cubicBezTo>
                  <a:cubicBezTo>
                    <a:pt x="812800" y="181951"/>
                    <a:pt x="630849" y="0"/>
                    <a:pt x="406400" y="0"/>
                  </a:cubicBezTo>
                  <a:close/>
                </a:path>
              </a:pathLst>
            </a:custGeom>
            <a:gradFill rotWithShape="1">
              <a:gsLst>
                <a:gs pos="0">
                  <a:srgbClr val="38B6FF">
                    <a:alpha val="100000"/>
                  </a:srgbClr>
                </a:gs>
                <a:gs pos="100000">
                  <a:srgbClr val="44489A">
                    <a:alpha val="100000"/>
                  </a:srgbClr>
                </a:gs>
              </a:gsLst>
              <a:lin ang="2700000"/>
            </a:grad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37" name="Freeform 82">
              <a:extLst>
                <a:ext uri="{FF2B5EF4-FFF2-40B4-BE49-F238E27FC236}">
                  <a16:creationId xmlns:a16="http://schemas.microsoft.com/office/drawing/2014/main" id="{DE78D9A2-AFEF-DF2C-83DC-74B2315C4210}"/>
                </a:ext>
              </a:extLst>
            </xdr:cNvPr>
            <xdr:cNvSpPr/>
          </xdr:nvSpPr>
          <xdr:spPr>
            <a:xfrm>
              <a:off x="17455309" y="852781"/>
              <a:ext cx="217664" cy="221189"/>
            </a:xfrm>
            <a:custGeom>
              <a:avLst/>
              <a:gdLst/>
              <a:ahLst/>
              <a:cxnLst/>
              <a:rect l="l" t="t" r="r" b="b"/>
              <a:pathLst>
                <a:path w="218217" h="221189">
                  <a:moveTo>
                    <a:pt x="0" y="0"/>
                  </a:moveTo>
                  <a:lnTo>
                    <a:pt x="218216" y="0"/>
                  </a:lnTo>
                  <a:lnTo>
                    <a:pt x="218216" y="221189"/>
                  </a:lnTo>
                  <a:lnTo>
                    <a:pt x="0" y="221189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3">
                <a:extLst>
                  <a:ext uri="{96DAC541-7B7A-43D3-8B79-37D633B846F1}">
                    <asvg:svgBlip xmlns:asvg="http://schemas.microsoft.com/office/drawing/2016/SVG/main" r:embed="rId24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9</xdr:col>
      <xdr:colOff>101787</xdr:colOff>
      <xdr:row>6</xdr:row>
      <xdr:rowOff>144142</xdr:rowOff>
    </xdr:from>
    <xdr:to>
      <xdr:col>9</xdr:col>
      <xdr:colOff>507855</xdr:colOff>
      <xdr:row>8</xdr:row>
      <xdr:rowOff>4446</xdr:rowOff>
    </xdr:to>
    <xdr:sp macro="" textlink="">
      <xdr:nvSpPr>
        <xdr:cNvPr id="140" name="Freeform 40">
          <a:extLst>
            <a:ext uri="{FF2B5EF4-FFF2-40B4-BE49-F238E27FC236}">
              <a16:creationId xmlns:a16="http://schemas.microsoft.com/office/drawing/2014/main" id="{58C1506E-42E0-464B-A6EA-90DF98D97443}"/>
            </a:ext>
          </a:extLst>
        </xdr:cNvPr>
        <xdr:cNvSpPr/>
      </xdr:nvSpPr>
      <xdr:spPr>
        <a:xfrm flipV="1">
          <a:off x="5612680" y="1287142"/>
          <a:ext cx="406068" cy="241304"/>
        </a:xfrm>
        <a:custGeom>
          <a:avLst/>
          <a:gdLst/>
          <a:ahLst/>
          <a:cxnLst/>
          <a:rect l="l" t="t" r="r" b="b"/>
          <a:pathLst>
            <a:path w="239576" h="143745">
              <a:moveTo>
                <a:pt x="0" y="143745"/>
              </a:moveTo>
              <a:lnTo>
                <a:pt x="239576" y="143745"/>
              </a:lnTo>
              <a:lnTo>
                <a:pt x="239576" y="0"/>
              </a:lnTo>
              <a:lnTo>
                <a:pt x="0" y="0"/>
              </a:lnTo>
              <a:lnTo>
                <a:pt x="0" y="143745"/>
              </a:lnTo>
              <a:close/>
            </a:path>
          </a:pathLst>
        </a:custGeom>
        <a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a:blipFill>
      </xdr:spPr>
      <xdr:txBody>
        <a:bodyPr wrap="square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PH"/>
        </a:p>
      </xdr:txBody>
    </xdr:sp>
    <xdr:clientData/>
  </xdr:twoCellAnchor>
  <xdr:twoCellAnchor editAs="oneCell">
    <xdr:from>
      <xdr:col>20</xdr:col>
      <xdr:colOff>547470</xdr:colOff>
      <xdr:row>9</xdr:row>
      <xdr:rowOff>70729</xdr:rowOff>
    </xdr:from>
    <xdr:to>
      <xdr:col>27</xdr:col>
      <xdr:colOff>59613</xdr:colOff>
      <xdr:row>21</xdr:row>
      <xdr:rowOff>71000</xdr:rowOff>
    </xdr:to>
    <xdr:pic>
      <xdr:nvPicPr>
        <xdr:cNvPr id="143" name="Picture 14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A29BD01-37C1-4454-B29B-53FF3F8AB9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3899" y="1785229"/>
          <a:ext cx="3798393" cy="22862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167541</xdr:colOff>
      <xdr:row>9</xdr:row>
      <xdr:rowOff>70587</xdr:rowOff>
    </xdr:from>
    <xdr:to>
      <xdr:col>35</xdr:col>
      <xdr:colOff>265171</xdr:colOff>
      <xdr:row>21</xdr:row>
      <xdr:rowOff>84195</xdr:rowOff>
    </xdr:to>
    <xdr:pic>
      <xdr:nvPicPr>
        <xdr:cNvPr id="145" name="Picture 14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3595BE6-6E2D-CDD8-A2F1-962D048255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45941" y="1785087"/>
          <a:ext cx="3755230" cy="22996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27</xdr:col>
      <xdr:colOff>7029</xdr:colOff>
      <xdr:row>7</xdr:row>
      <xdr:rowOff>28135</xdr:rowOff>
    </xdr:from>
    <xdr:to>
      <xdr:col>27</xdr:col>
      <xdr:colOff>99316</xdr:colOff>
      <xdr:row>7</xdr:row>
      <xdr:rowOff>179335</xdr:rowOff>
    </xdr:to>
    <xdr:sp macro="" textlink="">
      <xdr:nvSpPr>
        <xdr:cNvPr id="148" name="Freeform 46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3F7A2B6-2BE5-4BC5-B5B7-6F883C3CC287}"/>
            </a:ext>
          </a:extLst>
        </xdr:cNvPr>
        <xdr:cNvSpPr/>
      </xdr:nvSpPr>
      <xdr:spPr>
        <a:xfrm>
          <a:off x="16466229" y="1361635"/>
          <a:ext cx="92287" cy="151200"/>
        </a:xfrm>
        <a:custGeom>
          <a:avLst/>
          <a:gdLst/>
          <a:ahLst/>
          <a:cxnLst/>
          <a:rect l="l" t="t" r="r" b="b"/>
          <a:pathLst>
            <a:path w="99896" h="149348">
              <a:moveTo>
                <a:pt x="0" y="0"/>
              </a:moveTo>
              <a:lnTo>
                <a:pt x="99895" y="0"/>
              </a:lnTo>
              <a:lnTo>
                <a:pt x="99895" y="149347"/>
              </a:lnTo>
              <a:lnTo>
                <a:pt x="0" y="149347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35</xdr:col>
      <xdr:colOff>216579</xdr:colOff>
      <xdr:row>7</xdr:row>
      <xdr:rowOff>26668</xdr:rowOff>
    </xdr:from>
    <xdr:to>
      <xdr:col>35</xdr:col>
      <xdr:colOff>308866</xdr:colOff>
      <xdr:row>7</xdr:row>
      <xdr:rowOff>177868</xdr:rowOff>
    </xdr:to>
    <xdr:sp macro="" textlink="">
      <xdr:nvSpPr>
        <xdr:cNvPr id="149" name="Freeform 46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241AC11C-C2B1-423A-A346-E01C12AAF64B}"/>
            </a:ext>
          </a:extLst>
        </xdr:cNvPr>
        <xdr:cNvSpPr/>
      </xdr:nvSpPr>
      <xdr:spPr>
        <a:xfrm>
          <a:off x="21552579" y="1360168"/>
          <a:ext cx="92287" cy="151200"/>
        </a:xfrm>
        <a:custGeom>
          <a:avLst/>
          <a:gdLst/>
          <a:ahLst/>
          <a:cxnLst/>
          <a:rect l="l" t="t" r="r" b="b"/>
          <a:pathLst>
            <a:path w="99896" h="149348">
              <a:moveTo>
                <a:pt x="0" y="0"/>
              </a:moveTo>
              <a:lnTo>
                <a:pt x="99895" y="0"/>
              </a:lnTo>
              <a:lnTo>
                <a:pt x="99895" y="149347"/>
              </a:lnTo>
              <a:lnTo>
                <a:pt x="0" y="149347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3</xdr:col>
      <xdr:colOff>523875</xdr:colOff>
      <xdr:row>16</xdr:row>
      <xdr:rowOff>37505</xdr:rowOff>
    </xdr:from>
    <xdr:to>
      <xdr:col>11</xdr:col>
      <xdr:colOff>276838</xdr:colOff>
      <xdr:row>38</xdr:row>
      <xdr:rowOff>122558</xdr:rowOff>
    </xdr:to>
    <xdr:grpSp>
      <xdr:nvGrpSpPr>
        <xdr:cNvPr id="151" name="Group 150">
          <a:extLst>
            <a:ext uri="{FF2B5EF4-FFF2-40B4-BE49-F238E27FC236}">
              <a16:creationId xmlns:a16="http://schemas.microsoft.com/office/drawing/2014/main" id="{8C41081E-8361-B27B-A007-F2706CA62283}"/>
            </a:ext>
          </a:extLst>
        </xdr:cNvPr>
        <xdr:cNvGrpSpPr/>
      </xdr:nvGrpSpPr>
      <xdr:grpSpPr>
        <a:xfrm>
          <a:off x="2339228" y="3085505"/>
          <a:ext cx="4593904" cy="4276053"/>
          <a:chOff x="2352675" y="3085505"/>
          <a:chExt cx="4629763" cy="4276053"/>
        </a:xfrm>
      </xdr:grpSpPr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AE163AEC-5264-DC57-8CEF-3608839B2212}"/>
              </a:ext>
            </a:extLst>
          </xdr:cNvPr>
          <xdr:cNvGrpSpPr/>
        </xdr:nvGrpSpPr>
        <xdr:grpSpPr>
          <a:xfrm>
            <a:off x="2352675" y="3085505"/>
            <a:ext cx="4629763" cy="4276053"/>
            <a:chOff x="2162175" y="2771180"/>
            <a:chExt cx="4629763" cy="4276053"/>
          </a:xfrm>
        </xdr:grpSpPr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2A85666E-5D55-7BFD-9F3F-745C8D95D671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94" name="Freeform 29">
                <a:hlinkClick xmlns:r="http://schemas.openxmlformats.org/officeDocument/2006/relationships" r:id="rId30"/>
                <a:extLst>
                  <a:ext uri="{FF2B5EF4-FFF2-40B4-BE49-F238E27FC236}">
                    <a16:creationId xmlns:a16="http://schemas.microsoft.com/office/drawing/2014/main" id="{5EC3F35F-9D7F-6C25-460E-4F9113305E34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95" name="TextBox 30">
                <a:extLst>
                  <a:ext uri="{FF2B5EF4-FFF2-40B4-BE49-F238E27FC236}">
                    <a16:creationId xmlns:a16="http://schemas.microsoft.com/office/drawing/2014/main" id="{2369BAC8-B45A-BF5D-62A7-61C2794C520A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83EE3EBB-46D2-5C80-3EED-A6B1E6F534A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449748" y="3737641"/>
              <a:ext cx="579378" cy="579378"/>
            </a:xfrm>
            <a:prstGeom prst="rect">
              <a:avLst/>
            </a:prstGeom>
          </xdr:spPr>
        </xdr:pic>
        <xdr:grpSp>
          <xdr:nvGrpSpPr>
            <xdr:cNvPr id="60" name="Group 59">
              <a:extLst>
                <a:ext uri="{FF2B5EF4-FFF2-40B4-BE49-F238E27FC236}">
                  <a16:creationId xmlns:a16="http://schemas.microsoft.com/office/drawing/2014/main" id="{4F6AE2DB-C46B-6A8F-E9B0-5A6AA8B4EEBE}"/>
                </a:ext>
              </a:extLst>
            </xdr:cNvPr>
            <xdr:cNvGrpSpPr/>
          </xdr:nvGrpSpPr>
          <xdr:grpSpPr>
            <a:xfrm>
              <a:off x="2548412" y="3836305"/>
              <a:ext cx="382051" cy="382051"/>
              <a:chOff x="0" y="0"/>
              <a:chExt cx="812800" cy="812800"/>
            </a:xfrm>
          </xdr:grpSpPr>
          <xdr:sp macro="" textlink="">
            <xdr:nvSpPr>
              <xdr:cNvPr id="92" name="Freeform 33">
                <a:extLst>
                  <a:ext uri="{FF2B5EF4-FFF2-40B4-BE49-F238E27FC236}">
                    <a16:creationId xmlns:a16="http://schemas.microsoft.com/office/drawing/2014/main" id="{86652A69-8153-C4E9-DED7-D911DACB5A48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93" name="TextBox 34">
                <a:extLst>
                  <a:ext uri="{FF2B5EF4-FFF2-40B4-BE49-F238E27FC236}">
                    <a16:creationId xmlns:a16="http://schemas.microsoft.com/office/drawing/2014/main" id="{3DF976EC-E37F-C4E5-2DC6-E6450ABA8AA4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61" name="Freeform 35">
              <a:extLst>
                <a:ext uri="{FF2B5EF4-FFF2-40B4-BE49-F238E27FC236}">
                  <a16:creationId xmlns:a16="http://schemas.microsoft.com/office/drawing/2014/main" id="{6BCF9384-4549-D3B8-E61A-CE8261F603A4}"/>
                </a:ext>
              </a:extLst>
            </xdr:cNvPr>
            <xdr:cNvSpPr/>
          </xdr:nvSpPr>
          <xdr:spPr>
            <a:xfrm>
              <a:off x="6154879" y="3848352"/>
              <a:ext cx="239576" cy="143745"/>
            </a:xfrm>
            <a:custGeom>
              <a:avLst/>
              <a:gdLst/>
              <a:ahLst/>
              <a:cxnLst/>
              <a:rect l="l" t="t" r="r" b="b"/>
              <a:pathLst>
                <a:path w="239576" h="143745">
                  <a:moveTo>
                    <a:pt x="0" y="0"/>
                  </a:moveTo>
                  <a:lnTo>
                    <a:pt x="239576" y="0"/>
                  </a:lnTo>
                  <a:lnTo>
                    <a:pt x="239576" y="143746"/>
                  </a:lnTo>
                  <a:lnTo>
                    <a:pt x="0" y="14374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31">
                <a:extLst>
                  <a:ext uri="{96DAC541-7B7A-43D3-8B79-37D633B846F1}">
                    <asvg:svgBlip xmlns:asvg="http://schemas.microsoft.com/office/drawing/2016/SVG/main" r:embed="rId32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62" name="Picture 61">
              <a:extLst>
                <a:ext uri="{FF2B5EF4-FFF2-40B4-BE49-F238E27FC236}">
                  <a16:creationId xmlns:a16="http://schemas.microsoft.com/office/drawing/2014/main" id="{43EAF54D-3693-D601-4F75-424427306D2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447839" y="4450156"/>
              <a:ext cx="580384" cy="580384"/>
            </a:xfrm>
            <a:prstGeom prst="rect">
              <a:avLst/>
            </a:prstGeom>
          </xdr:spPr>
        </xdr:pic>
        <xdr:grpSp>
          <xdr:nvGrpSpPr>
            <xdr:cNvPr id="63" name="Group 62">
              <a:extLst>
                <a:ext uri="{FF2B5EF4-FFF2-40B4-BE49-F238E27FC236}">
                  <a16:creationId xmlns:a16="http://schemas.microsoft.com/office/drawing/2014/main" id="{2BD69485-0893-E8E8-6132-6624634689A7}"/>
                </a:ext>
              </a:extLst>
            </xdr:cNvPr>
            <xdr:cNvGrpSpPr/>
          </xdr:nvGrpSpPr>
          <xdr:grpSpPr>
            <a:xfrm>
              <a:off x="2546674" y="4548990"/>
              <a:ext cx="382714" cy="382714"/>
              <a:chOff x="0" y="0"/>
              <a:chExt cx="812800" cy="812800"/>
            </a:xfrm>
          </xdr:grpSpPr>
          <xdr:sp macro="" textlink="">
            <xdr:nvSpPr>
              <xdr:cNvPr id="90" name="Freeform 38">
                <a:extLst>
                  <a:ext uri="{FF2B5EF4-FFF2-40B4-BE49-F238E27FC236}">
                    <a16:creationId xmlns:a16="http://schemas.microsoft.com/office/drawing/2014/main" id="{17DB6D5C-2283-B464-B06B-FB9A96F74786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91" name="TextBox 39">
                <a:extLst>
                  <a:ext uri="{FF2B5EF4-FFF2-40B4-BE49-F238E27FC236}">
                    <a16:creationId xmlns:a16="http://schemas.microsoft.com/office/drawing/2014/main" id="{8CC102E7-FACC-102B-7B3A-48EF6450A1D7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64" name="Picture 63">
              <a:extLst>
                <a:ext uri="{FF2B5EF4-FFF2-40B4-BE49-F238E27FC236}">
                  <a16:creationId xmlns:a16="http://schemas.microsoft.com/office/drawing/2014/main" id="{8AAE2FF1-B962-E27D-E067-E0F50C3BEE5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449665" y="5162409"/>
              <a:ext cx="580384" cy="580384"/>
            </a:xfrm>
            <a:prstGeom prst="rect">
              <a:avLst/>
            </a:prstGeom>
          </xdr:spPr>
        </xdr:pic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D6AD934-A94B-634A-8E40-440FB619DBC2}"/>
                </a:ext>
              </a:extLst>
            </xdr:cNvPr>
            <xdr:cNvGrpSpPr/>
          </xdr:nvGrpSpPr>
          <xdr:grpSpPr>
            <a:xfrm>
              <a:off x="2548500" y="5261244"/>
              <a:ext cx="382714" cy="382714"/>
              <a:chOff x="0" y="0"/>
              <a:chExt cx="812800" cy="812800"/>
            </a:xfrm>
          </xdr:grpSpPr>
          <xdr:sp macro="" textlink="">
            <xdr:nvSpPr>
              <xdr:cNvPr id="88" name="Freeform 43">
                <a:extLst>
                  <a:ext uri="{FF2B5EF4-FFF2-40B4-BE49-F238E27FC236}">
                    <a16:creationId xmlns:a16="http://schemas.microsoft.com/office/drawing/2014/main" id="{4C284179-59A8-235F-141A-72981E0093DC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89" name="TextBox 44">
                <a:extLst>
                  <a:ext uri="{FF2B5EF4-FFF2-40B4-BE49-F238E27FC236}">
                    <a16:creationId xmlns:a16="http://schemas.microsoft.com/office/drawing/2014/main" id="{345000D4-3962-8428-4FBD-AA5D9FD40EA4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66" name="Freeform 4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54CCC5CA-DAD1-3A1C-314B-4031F3293B9E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6">
                <a:extLst>
                  <a:ext uri="{96DAC541-7B7A-43D3-8B79-37D633B846F1}">
                    <asvg:svgBlip xmlns:asvg="http://schemas.microsoft.com/office/drawing/2016/SVG/main" r:embed="rId7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67" name="Picture 66">
              <a:extLst>
                <a:ext uri="{FF2B5EF4-FFF2-40B4-BE49-F238E27FC236}">
                  <a16:creationId xmlns:a16="http://schemas.microsoft.com/office/drawing/2014/main" id="{E5D31678-3C81-830B-9969-AC44282B20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2447922" y="5874747"/>
              <a:ext cx="579378" cy="579378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ECC3425C-4663-0850-FDCD-2665357CC702}"/>
                </a:ext>
              </a:extLst>
            </xdr:cNvPr>
            <xdr:cNvGrpSpPr/>
          </xdr:nvGrpSpPr>
          <xdr:grpSpPr>
            <a:xfrm>
              <a:off x="2546586" y="5973410"/>
              <a:ext cx="382051" cy="382051"/>
              <a:chOff x="0" y="0"/>
              <a:chExt cx="812800" cy="812800"/>
            </a:xfrm>
          </xdr:grpSpPr>
          <xdr:sp macro="" textlink="">
            <xdr:nvSpPr>
              <xdr:cNvPr id="86" name="Freeform 79">
                <a:extLst>
                  <a:ext uri="{FF2B5EF4-FFF2-40B4-BE49-F238E27FC236}">
                    <a16:creationId xmlns:a16="http://schemas.microsoft.com/office/drawing/2014/main" id="{FA6EAA9A-F219-9FC2-D21F-07704033D446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87" name="TextBox 80">
                <a:extLst>
                  <a:ext uri="{FF2B5EF4-FFF2-40B4-BE49-F238E27FC236}">
                    <a16:creationId xmlns:a16="http://schemas.microsoft.com/office/drawing/2014/main" id="{8A94B545-EDDD-1542-8ECD-98D78615C6A8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69" name="Freeform 81">
              <a:extLst>
                <a:ext uri="{FF2B5EF4-FFF2-40B4-BE49-F238E27FC236}">
                  <a16:creationId xmlns:a16="http://schemas.microsoft.com/office/drawing/2014/main" id="{08303B7E-CBB7-7C4E-B84F-8FC64AD29579}"/>
                </a:ext>
              </a:extLst>
            </xdr:cNvPr>
            <xdr:cNvSpPr/>
          </xdr:nvSpPr>
          <xdr:spPr>
            <a:xfrm>
              <a:off x="2655641" y="3911370"/>
              <a:ext cx="168433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9">
                <a:extLst>
                  <a:ext uri="{96DAC541-7B7A-43D3-8B79-37D633B846F1}">
                    <asvg:svgBlip xmlns:asvg="http://schemas.microsoft.com/office/drawing/2016/SVG/main" r:embed="rId2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70" name="Freeform 82">
              <a:extLst>
                <a:ext uri="{FF2B5EF4-FFF2-40B4-BE49-F238E27FC236}">
                  <a16:creationId xmlns:a16="http://schemas.microsoft.com/office/drawing/2014/main" id="{CCBEBE79-FF09-99B3-4E47-4A28DA4F41E6}"/>
                </a:ext>
              </a:extLst>
            </xdr:cNvPr>
            <xdr:cNvSpPr/>
          </xdr:nvSpPr>
          <xdr:spPr>
            <a:xfrm>
              <a:off x="2630749" y="4629753"/>
              <a:ext cx="218217" cy="221189"/>
            </a:xfrm>
            <a:custGeom>
              <a:avLst/>
              <a:gdLst/>
              <a:ahLst/>
              <a:cxnLst/>
              <a:rect l="l" t="t" r="r" b="b"/>
              <a:pathLst>
                <a:path w="218217" h="221189">
                  <a:moveTo>
                    <a:pt x="0" y="0"/>
                  </a:moveTo>
                  <a:lnTo>
                    <a:pt x="218216" y="0"/>
                  </a:lnTo>
                  <a:lnTo>
                    <a:pt x="218216" y="221189"/>
                  </a:lnTo>
                  <a:lnTo>
                    <a:pt x="0" y="221189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3">
                <a:extLst>
                  <a:ext uri="{96DAC541-7B7A-43D3-8B79-37D633B846F1}">
                    <asvg:svgBlip xmlns:asvg="http://schemas.microsoft.com/office/drawing/2016/SVG/main" r:embed="rId24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71" name="Freeform 83">
              <a:extLst>
                <a:ext uri="{FF2B5EF4-FFF2-40B4-BE49-F238E27FC236}">
                  <a16:creationId xmlns:a16="http://schemas.microsoft.com/office/drawing/2014/main" id="{12765D16-8528-4BC7-5390-EDB813E7F90C}"/>
                </a:ext>
              </a:extLst>
            </xdr:cNvPr>
            <xdr:cNvSpPr/>
          </xdr:nvSpPr>
          <xdr:spPr>
            <a:xfrm>
              <a:off x="2630749" y="6046853"/>
              <a:ext cx="241655" cy="225646"/>
            </a:xfrm>
            <a:custGeom>
              <a:avLst/>
              <a:gdLst/>
              <a:ahLst/>
              <a:cxnLst/>
              <a:rect l="l" t="t" r="r" b="b"/>
              <a:pathLst>
                <a:path w="241655" h="225646">
                  <a:moveTo>
                    <a:pt x="0" y="0"/>
                  </a:moveTo>
                  <a:lnTo>
                    <a:pt x="241655" y="0"/>
                  </a:lnTo>
                  <a:lnTo>
                    <a:pt x="241655" y="225645"/>
                  </a:lnTo>
                  <a:lnTo>
                    <a:pt x="0" y="225645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35"/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72" name="Freeform 84">
              <a:extLst>
                <a:ext uri="{FF2B5EF4-FFF2-40B4-BE49-F238E27FC236}">
                  <a16:creationId xmlns:a16="http://schemas.microsoft.com/office/drawing/2014/main" id="{5E2ED6A5-9162-530F-8402-168159080BE1}"/>
                </a:ext>
              </a:extLst>
            </xdr:cNvPr>
            <xdr:cNvSpPr/>
          </xdr:nvSpPr>
          <xdr:spPr>
            <a:xfrm>
              <a:off x="2613245" y="5319673"/>
              <a:ext cx="253224" cy="253224"/>
            </a:xfrm>
            <a:custGeom>
              <a:avLst/>
              <a:gdLst/>
              <a:ahLst/>
              <a:cxnLst/>
              <a:rect l="l" t="t" r="r" b="b"/>
              <a:pathLst>
                <a:path w="253224" h="253224">
                  <a:moveTo>
                    <a:pt x="0" y="0"/>
                  </a:moveTo>
                  <a:lnTo>
                    <a:pt x="253224" y="0"/>
                  </a:lnTo>
                  <a:lnTo>
                    <a:pt x="253224" y="253224"/>
                  </a:lnTo>
                  <a:lnTo>
                    <a:pt x="0" y="253224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6">
                <a:extLst>
                  <a:ext uri="{96DAC541-7B7A-43D3-8B79-37D633B846F1}">
                    <asvg:svgBlip xmlns:asvg="http://schemas.microsoft.com/office/drawing/2016/SVG/main" r:embed="rId17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73" name="TextBox 87">
              <a:extLst>
                <a:ext uri="{FF2B5EF4-FFF2-40B4-BE49-F238E27FC236}">
                  <a16:creationId xmlns:a16="http://schemas.microsoft.com/office/drawing/2014/main" id="{89B06911-1951-3F37-0776-6F25A9136615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Summary Chart</a:t>
              </a:r>
            </a:p>
          </xdr:txBody>
        </xdr:sp>
        <xdr:sp macro="" textlink="">
          <xdr:nvSpPr>
            <xdr:cNvPr id="74" name="TextBox 103">
              <a:extLst>
                <a:ext uri="{FF2B5EF4-FFF2-40B4-BE49-F238E27FC236}">
                  <a16:creationId xmlns:a16="http://schemas.microsoft.com/office/drawing/2014/main" id="{2FD84917-C709-1BE7-EF27-06A4F8936C5C}"/>
                </a:ext>
              </a:extLst>
            </xdr:cNvPr>
            <xdr:cNvSpPr txBox="1"/>
          </xdr:nvSpPr>
          <xdr:spPr>
            <a:xfrm>
              <a:off x="3116860" y="3747823"/>
              <a:ext cx="2474627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Trips Made</a:t>
              </a:r>
            </a:p>
          </xdr:txBody>
        </xdr:sp>
        <xdr:sp macro="" textlink="">
          <xdr:nvSpPr>
            <xdr:cNvPr id="75" name="TextBox 104">
              <a:extLst>
                <a:ext uri="{FF2B5EF4-FFF2-40B4-BE49-F238E27FC236}">
                  <a16:creationId xmlns:a16="http://schemas.microsoft.com/office/drawing/2014/main" id="{E777D557-6BD1-6A42-4ED6-5C9B84B2B4E4}"/>
                </a:ext>
              </a:extLst>
            </xdr:cNvPr>
            <xdr:cNvSpPr txBox="1"/>
          </xdr:nvSpPr>
          <xdr:spPr>
            <a:xfrm>
              <a:off x="3116860" y="406113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1,278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trips to </a:t>
              </a:r>
              <a:r>
                <a:rPr lang="en-US" sz="1200" b="1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1,2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72 </a:t>
              </a:r>
              <a:r>
                <a:rPr lang="en-US" sz="1200" b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trips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 </a:t>
              </a:r>
            </a:p>
          </xdr:txBody>
        </xdr:sp>
        <xdr:sp macro="" textlink="">
          <xdr:nvSpPr>
            <xdr:cNvPr id="76" name="TextBox 105">
              <a:extLst>
                <a:ext uri="{FF2B5EF4-FFF2-40B4-BE49-F238E27FC236}">
                  <a16:creationId xmlns:a16="http://schemas.microsoft.com/office/drawing/2014/main" id="{B93CFE0E-9E4C-CA01-5FDE-C44372E9907F}"/>
                </a:ext>
              </a:extLst>
            </xdr:cNvPr>
            <xdr:cNvSpPr txBox="1"/>
          </xdr:nvSpPr>
          <xdr:spPr>
            <a:xfrm>
              <a:off x="5487243" y="4061130"/>
              <a:ext cx="972491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- 6 trips</a:t>
              </a:r>
            </a:p>
          </xdr:txBody>
        </xdr:sp>
        <xdr:sp macro="" textlink="">
          <xdr:nvSpPr>
            <xdr:cNvPr id="77" name="TextBox 106">
              <a:extLst>
                <a:ext uri="{FF2B5EF4-FFF2-40B4-BE49-F238E27FC236}">
                  <a16:creationId xmlns:a16="http://schemas.microsoft.com/office/drawing/2014/main" id="{368E5D76-9E9F-7FEB-C057-3414CA7618F2}"/>
                </a:ext>
              </a:extLst>
            </xdr:cNvPr>
            <xdr:cNvSpPr txBox="1"/>
          </xdr:nvSpPr>
          <xdr:spPr>
            <a:xfrm>
              <a:off x="3115034" y="4460421"/>
              <a:ext cx="2067930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Hours Operated</a:t>
              </a:r>
            </a:p>
          </xdr:txBody>
        </xdr:sp>
        <xdr:sp macro="" textlink="">
          <xdr:nvSpPr>
            <xdr:cNvPr id="78" name="TextBox 107">
              <a:extLst>
                <a:ext uri="{FF2B5EF4-FFF2-40B4-BE49-F238E27FC236}">
                  <a16:creationId xmlns:a16="http://schemas.microsoft.com/office/drawing/2014/main" id="{7FC598D0-A158-8CAA-A3E0-5354B2C968CD}"/>
                </a:ext>
              </a:extLst>
            </xdr:cNvPr>
            <xdr:cNvSpPr txBox="1"/>
          </xdr:nvSpPr>
          <xdr:spPr>
            <a:xfrm>
              <a:off x="3115034" y="4774566"/>
              <a:ext cx="2773626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882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to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902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</a:t>
              </a:r>
            </a:p>
          </xdr:txBody>
        </xdr:sp>
        <xdr:sp macro="" textlink="">
          <xdr:nvSpPr>
            <xdr:cNvPr id="79" name="TextBox 108">
              <a:extLst>
                <a:ext uri="{FF2B5EF4-FFF2-40B4-BE49-F238E27FC236}">
                  <a16:creationId xmlns:a16="http://schemas.microsoft.com/office/drawing/2014/main" id="{14C6EDE5-5F6F-B4C7-BB6A-1A72333882FA}"/>
                </a:ext>
              </a:extLst>
            </xdr:cNvPr>
            <xdr:cNvSpPr txBox="1"/>
          </xdr:nvSpPr>
          <xdr:spPr>
            <a:xfrm>
              <a:off x="5363711" y="4774566"/>
              <a:ext cx="1094199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+ 20 hours </a:t>
              </a:r>
            </a:p>
          </xdr:txBody>
        </xdr:sp>
        <xdr:sp macro="" textlink="">
          <xdr:nvSpPr>
            <xdr:cNvPr id="80" name="TextBox 109">
              <a:extLst>
                <a:ext uri="{FF2B5EF4-FFF2-40B4-BE49-F238E27FC236}">
                  <a16:creationId xmlns:a16="http://schemas.microsoft.com/office/drawing/2014/main" id="{DCAE4ACD-7B5C-31B2-1608-1F2238A5A293}"/>
                </a:ext>
              </a:extLst>
            </xdr:cNvPr>
            <xdr:cNvSpPr txBox="1"/>
          </xdr:nvSpPr>
          <xdr:spPr>
            <a:xfrm>
              <a:off x="3116860" y="5172674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Operators</a:t>
              </a:r>
            </a:p>
          </xdr:txBody>
        </xdr:sp>
        <xdr:sp macro="" textlink="">
          <xdr:nvSpPr>
            <xdr:cNvPr id="81" name="TextBox 110">
              <a:extLst>
                <a:ext uri="{FF2B5EF4-FFF2-40B4-BE49-F238E27FC236}">
                  <a16:creationId xmlns:a16="http://schemas.microsoft.com/office/drawing/2014/main" id="{510EEE0B-EC0D-9EC0-039B-E96745E266BA}"/>
                </a:ext>
              </a:extLst>
            </xdr:cNvPr>
            <xdr:cNvSpPr txBox="1"/>
          </xdr:nvSpPr>
          <xdr:spPr>
            <a:xfrm>
              <a:off x="3116860" y="548682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13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</a:t>
              </a:r>
            </a:p>
          </xdr:txBody>
        </xdr:sp>
        <xdr:sp macro="" textlink="">
          <xdr:nvSpPr>
            <xdr:cNvPr id="83" name="TextBox 119">
              <a:extLst>
                <a:ext uri="{FF2B5EF4-FFF2-40B4-BE49-F238E27FC236}">
                  <a16:creationId xmlns:a16="http://schemas.microsoft.com/office/drawing/2014/main" id="{33A8A2FF-928C-908C-52AE-69AB3CDB09F4}"/>
                </a:ext>
              </a:extLst>
            </xdr:cNvPr>
            <xdr:cNvSpPr txBox="1"/>
          </xdr:nvSpPr>
          <xdr:spPr>
            <a:xfrm>
              <a:off x="3115034" y="5879749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Days Worked</a:t>
              </a:r>
            </a:p>
          </xdr:txBody>
        </xdr:sp>
        <xdr:sp macro="" textlink="">
          <xdr:nvSpPr>
            <xdr:cNvPr id="84" name="TextBox 120">
              <a:extLst>
                <a:ext uri="{FF2B5EF4-FFF2-40B4-BE49-F238E27FC236}">
                  <a16:creationId xmlns:a16="http://schemas.microsoft.com/office/drawing/2014/main" id="{E869E505-FD66-7690-950B-4BC8BCFAD729}"/>
                </a:ext>
              </a:extLst>
            </xdr:cNvPr>
            <xdr:cNvSpPr txBox="1"/>
          </xdr:nvSpPr>
          <xdr:spPr>
            <a:xfrm>
              <a:off x="3115034" y="6193894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</a:t>
              </a:r>
            </a:p>
          </xdr:txBody>
        </xdr:sp>
        <xdr:sp macro="" textlink="">
          <xdr:nvSpPr>
            <xdr:cNvPr id="85" name="TextBox 121">
              <a:extLst>
                <a:ext uri="{FF2B5EF4-FFF2-40B4-BE49-F238E27FC236}">
                  <a16:creationId xmlns:a16="http://schemas.microsoft.com/office/drawing/2014/main" id="{86C07AC1-2EC5-E7C1-D4A5-8000A9080870}"/>
                </a:ext>
              </a:extLst>
            </xdr:cNvPr>
            <xdr:cNvSpPr txBox="1"/>
          </xdr:nvSpPr>
          <xdr:spPr>
            <a:xfrm>
              <a:off x="5951769" y="6193894"/>
              <a:ext cx="506140" cy="24429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8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---</a:t>
              </a:r>
            </a:p>
          </xdr:txBody>
        </xdr:sp>
      </xdr:grpSp>
      <xdr:sp macro="" textlink="">
        <xdr:nvSpPr>
          <xdr:cNvPr id="150" name="Freeform 40">
            <a:extLst>
              <a:ext uri="{FF2B5EF4-FFF2-40B4-BE49-F238E27FC236}">
                <a16:creationId xmlns:a16="http://schemas.microsoft.com/office/drawing/2014/main" id="{20F94B76-EB77-40A8-9A8A-3435E73C1938}"/>
              </a:ext>
            </a:extLst>
          </xdr:cNvPr>
          <xdr:cNvSpPr/>
        </xdr:nvSpPr>
        <xdr:spPr>
          <a:xfrm flipV="1">
            <a:off x="6343650" y="4942880"/>
            <a:ext cx="241314" cy="143745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143745"/>
                </a:moveTo>
                <a:lnTo>
                  <a:pt x="239576" y="143745"/>
                </a:lnTo>
                <a:lnTo>
                  <a:pt x="239576" y="0"/>
                </a:lnTo>
                <a:lnTo>
                  <a:pt x="0" y="0"/>
                </a:lnTo>
                <a:lnTo>
                  <a:pt x="0" y="143745"/>
                </a:lnTo>
                <a:close/>
              </a:path>
            </a:pathLst>
          </a:custGeom>
          <a:blipFill>
            <a:blip xmlns:r="http://schemas.openxmlformats.org/officeDocument/2006/relationships" r:embed="rId25">
              <a:extLst>
                <a:ext uri="{96DAC541-7B7A-43D3-8B79-37D633B846F1}">
                  <asvg:svgBlip xmlns:asvg="http://schemas.microsoft.com/office/drawing/2016/SVG/main" r:embed="rId26"/>
                </a:ext>
              </a:extLst>
            </a:blip>
            <a:stretch>
              <a:fillRect/>
            </a:stretch>
          </a:blipFill>
        </xdr:spPr>
        <xdr:txBody>
          <a:bodyPr wrap="square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PH"/>
          </a:p>
        </xdr:txBody>
      </xdr:sp>
    </xdr:grpSp>
    <xdr:clientData/>
  </xdr:twoCellAnchor>
  <xdr:twoCellAnchor>
    <xdr:from>
      <xdr:col>9</xdr:col>
      <xdr:colOff>66675</xdr:colOff>
      <xdr:row>30</xdr:row>
      <xdr:rowOff>60561</xdr:rowOff>
    </xdr:from>
    <xdr:to>
      <xdr:col>10</xdr:col>
      <xdr:colOff>552582</xdr:colOff>
      <xdr:row>31</xdr:row>
      <xdr:rowOff>88069</xdr:rowOff>
    </xdr:to>
    <xdr:sp macro="" textlink="">
      <xdr:nvSpPr>
        <xdr:cNvPr id="152" name="TextBox 108">
          <a:extLst>
            <a:ext uri="{FF2B5EF4-FFF2-40B4-BE49-F238E27FC236}">
              <a16:creationId xmlns:a16="http://schemas.microsoft.com/office/drawing/2014/main" id="{830E929C-CD92-4630-AB0E-8721FFB7B5A5}"/>
            </a:ext>
          </a:extLst>
        </xdr:cNvPr>
        <xdr:cNvSpPr txBox="1"/>
      </xdr:nvSpPr>
      <xdr:spPr>
        <a:xfrm>
          <a:off x="5553075" y="5775561"/>
          <a:ext cx="1095507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ts val="1679"/>
            </a:lnSpc>
          </a:pPr>
          <a:r>
            <a:rPr lang="en-US" sz="1200" b="1" baseline="0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- 1 operator</a:t>
          </a:r>
          <a:r>
            <a:rPr lang="en-US" sz="12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 </a:t>
          </a:r>
        </a:p>
      </xdr:txBody>
    </xdr:sp>
    <xdr:clientData/>
  </xdr:twoCellAnchor>
  <xdr:twoCellAnchor>
    <xdr:from>
      <xdr:col>10</xdr:col>
      <xdr:colOff>247650</xdr:colOff>
      <xdr:row>29</xdr:row>
      <xdr:rowOff>66080</xdr:rowOff>
    </xdr:from>
    <xdr:to>
      <xdr:col>10</xdr:col>
      <xdr:colOff>487226</xdr:colOff>
      <xdr:row>30</xdr:row>
      <xdr:rowOff>19325</xdr:rowOff>
    </xdr:to>
    <xdr:sp macro="" textlink="">
      <xdr:nvSpPr>
        <xdr:cNvPr id="154" name="Freeform 35">
          <a:extLst>
            <a:ext uri="{FF2B5EF4-FFF2-40B4-BE49-F238E27FC236}">
              <a16:creationId xmlns:a16="http://schemas.microsoft.com/office/drawing/2014/main" id="{D387BA95-4CB0-4C0A-9767-4397961638EB}"/>
            </a:ext>
          </a:extLst>
        </xdr:cNvPr>
        <xdr:cNvSpPr/>
      </xdr:nvSpPr>
      <xdr:spPr>
        <a:xfrm>
          <a:off x="6343650" y="5590580"/>
          <a:ext cx="239576" cy="143745"/>
        </a:xfrm>
        <a:custGeom>
          <a:avLst/>
          <a:gdLst/>
          <a:ahLst/>
          <a:cxnLst/>
          <a:rect l="l" t="t" r="r" b="b"/>
          <a:pathLst>
            <a:path w="239576" h="143745">
              <a:moveTo>
                <a:pt x="0" y="0"/>
              </a:moveTo>
              <a:lnTo>
                <a:pt x="239576" y="0"/>
              </a:lnTo>
              <a:lnTo>
                <a:pt x="239576" y="143746"/>
              </a:lnTo>
              <a:lnTo>
                <a:pt x="0" y="143746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31">
            <a:extLs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13</xdr:col>
      <xdr:colOff>122464</xdr:colOff>
      <xdr:row>21</xdr:row>
      <xdr:rowOff>56555</xdr:rowOff>
    </xdr:from>
    <xdr:to>
      <xdr:col>18</xdr:col>
      <xdr:colOff>200025</xdr:colOff>
      <xdr:row>27</xdr:row>
      <xdr:rowOff>118851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FC0899F2-9E61-9ADA-2E2B-5A57E0397B84}"/>
            </a:ext>
          </a:extLst>
        </xdr:cNvPr>
        <xdr:cNvGrpSpPr/>
      </xdr:nvGrpSpPr>
      <xdr:grpSpPr>
        <a:xfrm>
          <a:off x="7988993" y="4057055"/>
          <a:ext cx="3103150" cy="1205296"/>
          <a:chOff x="8047264" y="4133255"/>
          <a:chExt cx="3125561" cy="1205296"/>
        </a:xfrm>
      </xdr:grpSpPr>
      <xdr:sp macro="" textlink="">
        <xdr:nvSpPr>
          <xdr:cNvPr id="110" name="TextBox 103">
            <a:extLst>
              <a:ext uri="{FF2B5EF4-FFF2-40B4-BE49-F238E27FC236}">
                <a16:creationId xmlns:a16="http://schemas.microsoft.com/office/drawing/2014/main" id="{5A39DB13-341F-4F46-9C2B-A549B0BDEF47}"/>
              </a:ext>
            </a:extLst>
          </xdr:cNvPr>
          <xdr:cNvSpPr txBox="1"/>
        </xdr:nvSpPr>
        <xdr:spPr>
          <a:xfrm>
            <a:off x="8047264" y="4133255"/>
            <a:ext cx="3125561" cy="533995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2239"/>
              </a:lnSpc>
            </a:pPr>
            <a:r>
              <a:rPr lang="en-US" sz="1400" b="1">
                <a:solidFill>
                  <a:srgbClr val="252525"/>
                </a:solidFill>
                <a:latin typeface="Lato Heavy"/>
                <a:ea typeface="Lato Heavy"/>
                <a:cs typeface="Lato Heavy"/>
                <a:sym typeface="Lato Heavy"/>
              </a:rPr>
              <a:t>EXPRESS TRANSPORTATION SERVICES, LLC</a:t>
            </a:r>
          </a:p>
        </xdr:txBody>
      </xdr:sp>
      <xdr:grpSp>
        <xdr:nvGrpSpPr>
          <xdr:cNvPr id="111" name="Group 110">
            <a:extLst>
              <a:ext uri="{FF2B5EF4-FFF2-40B4-BE49-F238E27FC236}">
                <a16:creationId xmlns:a16="http://schemas.microsoft.com/office/drawing/2014/main" id="{BB9B1458-0A3B-4607-8A41-2964A895696D}"/>
              </a:ext>
            </a:extLst>
          </xdr:cNvPr>
          <xdr:cNvGrpSpPr/>
        </xdr:nvGrpSpPr>
        <xdr:grpSpPr>
          <a:xfrm>
            <a:off x="8295765" y="4685705"/>
            <a:ext cx="2371846" cy="222978"/>
            <a:chOff x="8338812" y="4730017"/>
            <a:chExt cx="2386573" cy="222978"/>
          </a:xfrm>
        </xdr:grpSpPr>
        <xdr:sp macro="" textlink="">
          <xdr:nvSpPr>
            <xdr:cNvPr id="112" name="TextBox 107">
              <a:extLst>
                <a:ext uri="{FF2B5EF4-FFF2-40B4-BE49-F238E27FC236}">
                  <a16:creationId xmlns:a16="http://schemas.microsoft.com/office/drawing/2014/main" id="{974FC85A-30C5-9363-6A79-940499B912CC}"/>
                </a:ext>
              </a:extLst>
            </xdr:cNvPr>
            <xdr:cNvSpPr txBox="1"/>
          </xdr:nvSpPr>
          <xdr:spPr>
            <a:xfrm>
              <a:off x="8338812" y="4734987"/>
              <a:ext cx="1335274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BANKS, LENARD </a:t>
              </a:r>
            </a:p>
          </xdr:txBody>
        </xdr:sp>
        <xdr:sp macro="" textlink="">
          <xdr:nvSpPr>
            <xdr:cNvPr id="113" name="TextBox 107">
              <a:extLst>
                <a:ext uri="{FF2B5EF4-FFF2-40B4-BE49-F238E27FC236}">
                  <a16:creationId xmlns:a16="http://schemas.microsoft.com/office/drawing/2014/main" id="{7FE5B1CE-B52B-63B3-AE9D-11D2373AF17F}"/>
                </a:ext>
              </a:extLst>
            </xdr:cNvPr>
            <xdr:cNvSpPr txBox="1"/>
          </xdr:nvSpPr>
          <xdr:spPr>
            <a:xfrm>
              <a:off x="10089163" y="4730017"/>
              <a:ext cx="636222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0">
                  <a:solidFill>
                    <a:srgbClr val="00BF63"/>
                  </a:solidFill>
                  <a:latin typeface="Poppins"/>
                  <a:ea typeface="Poppins"/>
                  <a:cs typeface="Poppins"/>
                  <a:sym typeface="Poppins"/>
                </a:rPr>
                <a:t>Added</a:t>
              </a:r>
            </a:p>
          </xdr:txBody>
        </xdr:sp>
      </xdr:grpSp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8F384157-1061-43D1-8354-75439224FE45}"/>
              </a:ext>
            </a:extLst>
          </xdr:cNvPr>
          <xdr:cNvGrpSpPr/>
        </xdr:nvGrpSpPr>
        <xdr:grpSpPr>
          <a:xfrm>
            <a:off x="8290742" y="4896498"/>
            <a:ext cx="2517795" cy="218008"/>
            <a:chOff x="8338812" y="4730017"/>
            <a:chExt cx="2533020" cy="218008"/>
          </a:xfrm>
        </xdr:grpSpPr>
        <xdr:sp macro="" textlink="">
          <xdr:nvSpPr>
            <xdr:cNvPr id="115" name="TextBox 107">
              <a:extLst>
                <a:ext uri="{FF2B5EF4-FFF2-40B4-BE49-F238E27FC236}">
                  <a16:creationId xmlns:a16="http://schemas.microsoft.com/office/drawing/2014/main" id="{8AECD28E-7AC6-1480-BA3A-325265B1F43A}"/>
                </a:ext>
              </a:extLst>
            </xdr:cNvPr>
            <xdr:cNvSpPr txBox="1"/>
          </xdr:nvSpPr>
          <xdr:spPr>
            <a:xfrm>
              <a:off x="8338812" y="4734987"/>
              <a:ext cx="1653735" cy="203932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ts val="1679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200" b="1" i="0" u="none" strike="noStrike" kern="0" cap="none" spc="0" normalizeH="0" baseline="0" noProof="0">
                  <a:ln>
                    <a:noFill/>
                  </a:ln>
                  <a:solidFill>
                    <a:srgbClr val="38B6FF"/>
                  </a:solidFill>
                  <a:effectLst/>
                  <a:uLnTx/>
                  <a:uFillTx/>
                  <a:latin typeface="Poppins"/>
                  <a:ea typeface="Poppins"/>
                  <a:cs typeface="Poppins"/>
                  <a:sym typeface="Poppins"/>
                </a:rPr>
                <a:t>ROBERTSON, SARAH </a:t>
              </a:r>
            </a:p>
          </xdr:txBody>
        </xdr:sp>
        <xdr:sp macro="" textlink="">
          <xdr:nvSpPr>
            <xdr:cNvPr id="116" name="TextBox 107">
              <a:extLst>
                <a:ext uri="{FF2B5EF4-FFF2-40B4-BE49-F238E27FC236}">
                  <a16:creationId xmlns:a16="http://schemas.microsoft.com/office/drawing/2014/main" id="{442E028D-09E9-6D29-BFB5-7499138185A8}"/>
                </a:ext>
              </a:extLst>
            </xdr:cNvPr>
            <xdr:cNvSpPr txBox="1"/>
          </xdr:nvSpPr>
          <xdr:spPr>
            <a:xfrm>
              <a:off x="10079543" y="4730017"/>
              <a:ext cx="792289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0">
                  <a:solidFill>
                    <a:srgbClr val="FF0000"/>
                  </a:solidFill>
                  <a:latin typeface="Poppins"/>
                  <a:ea typeface="Poppins"/>
                  <a:cs typeface="Poppins"/>
                  <a:sym typeface="Poppins"/>
                </a:rPr>
                <a:t>Removed</a:t>
              </a:r>
            </a:p>
          </xdr:txBody>
        </xdr:sp>
      </xdr:grpSp>
      <xdr:grpSp>
        <xdr:nvGrpSpPr>
          <xdr:cNvPr id="155" name="Group 154">
            <a:extLst>
              <a:ext uri="{FF2B5EF4-FFF2-40B4-BE49-F238E27FC236}">
                <a16:creationId xmlns:a16="http://schemas.microsoft.com/office/drawing/2014/main" id="{355D8473-C1B0-4DE0-A6F7-95791DE45B15}"/>
              </a:ext>
            </a:extLst>
          </xdr:cNvPr>
          <xdr:cNvGrpSpPr/>
        </xdr:nvGrpSpPr>
        <xdr:grpSpPr>
          <a:xfrm>
            <a:off x="8290742" y="5115573"/>
            <a:ext cx="2517795" cy="222978"/>
            <a:chOff x="8338812" y="4730017"/>
            <a:chExt cx="2533020" cy="222978"/>
          </a:xfrm>
        </xdr:grpSpPr>
        <xdr:sp macro="" textlink="">
          <xdr:nvSpPr>
            <xdr:cNvPr id="156" name="TextBox 107">
              <a:extLst>
                <a:ext uri="{FF2B5EF4-FFF2-40B4-BE49-F238E27FC236}">
                  <a16:creationId xmlns:a16="http://schemas.microsoft.com/office/drawing/2014/main" id="{C1DCE309-3FE9-AC3A-9844-45F294A85C60}"/>
                </a:ext>
              </a:extLst>
            </xdr:cNvPr>
            <xdr:cNvSpPr txBox="1"/>
          </xdr:nvSpPr>
          <xdr:spPr>
            <a:xfrm>
              <a:off x="8338812" y="4734987"/>
              <a:ext cx="1335274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ts val="1679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sz="1200" b="1" i="0" u="none" strike="noStrike" kern="0" cap="none" spc="0" normalizeH="0" baseline="0" noProof="0">
                  <a:ln>
                    <a:noFill/>
                  </a:ln>
                  <a:solidFill>
                    <a:srgbClr val="38B6FF"/>
                  </a:solidFill>
                  <a:effectLst/>
                  <a:uLnTx/>
                  <a:uFillTx/>
                  <a:latin typeface="Poppins"/>
                  <a:ea typeface="Poppins"/>
                  <a:cs typeface="Poppins"/>
                  <a:sym typeface="Poppins"/>
                </a:rPr>
                <a:t>SILVA PAUL </a:t>
              </a:r>
            </a:p>
          </xdr:txBody>
        </xdr:sp>
        <xdr:sp macro="" textlink="">
          <xdr:nvSpPr>
            <xdr:cNvPr id="157" name="TextBox 107">
              <a:extLst>
                <a:ext uri="{FF2B5EF4-FFF2-40B4-BE49-F238E27FC236}">
                  <a16:creationId xmlns:a16="http://schemas.microsoft.com/office/drawing/2014/main" id="{94CC169D-F11D-6BC8-90D3-54B0C6FCBD69}"/>
                </a:ext>
              </a:extLst>
            </xdr:cNvPr>
            <xdr:cNvSpPr txBox="1"/>
          </xdr:nvSpPr>
          <xdr:spPr>
            <a:xfrm>
              <a:off x="10079543" y="4730017"/>
              <a:ext cx="792289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0">
                  <a:solidFill>
                    <a:srgbClr val="FF0000"/>
                  </a:solidFill>
                  <a:latin typeface="Poppins"/>
                  <a:ea typeface="Poppins"/>
                  <a:cs typeface="Poppins"/>
                  <a:sym typeface="Poppins"/>
                </a:rPr>
                <a:t>Removed</a:t>
              </a:r>
            </a:p>
          </xdr:txBody>
        </xdr:sp>
      </xdr:grpSp>
    </xdr:grpSp>
    <xdr:clientData/>
  </xdr:twoCellAnchor>
  <xdr:twoCellAnchor>
    <xdr:from>
      <xdr:col>13</xdr:col>
      <xdr:colOff>103414</xdr:colOff>
      <xdr:row>28</xdr:row>
      <xdr:rowOff>104180</xdr:rowOff>
    </xdr:from>
    <xdr:to>
      <xdr:col>18</xdr:col>
      <xdr:colOff>180975</xdr:colOff>
      <xdr:row>31</xdr:row>
      <xdr:rowOff>66675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9F4B936D-5BEF-47F8-BABA-EB57FA9AEC07}"/>
            </a:ext>
          </a:extLst>
        </xdr:cNvPr>
        <xdr:cNvGrpSpPr/>
      </xdr:nvGrpSpPr>
      <xdr:grpSpPr>
        <a:xfrm>
          <a:off x="7969943" y="5438180"/>
          <a:ext cx="3103150" cy="533995"/>
          <a:chOff x="8047264" y="4133255"/>
          <a:chExt cx="3125561" cy="533995"/>
        </a:xfrm>
      </xdr:grpSpPr>
      <xdr:sp macro="" textlink="">
        <xdr:nvSpPr>
          <xdr:cNvPr id="160" name="TextBox 103">
            <a:extLst>
              <a:ext uri="{FF2B5EF4-FFF2-40B4-BE49-F238E27FC236}">
                <a16:creationId xmlns:a16="http://schemas.microsoft.com/office/drawing/2014/main" id="{4D70ECE6-78E8-C2CA-DB51-A668C6247189}"/>
              </a:ext>
            </a:extLst>
          </xdr:cNvPr>
          <xdr:cNvSpPr txBox="1"/>
        </xdr:nvSpPr>
        <xdr:spPr>
          <a:xfrm>
            <a:off x="8047264" y="4133255"/>
            <a:ext cx="3125561" cy="533995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2239"/>
              </a:lnSpc>
            </a:pPr>
            <a:r>
              <a:rPr lang="en-US" sz="1400" b="1">
                <a:solidFill>
                  <a:srgbClr val="252525"/>
                </a:solidFill>
                <a:latin typeface="Lato Heavy"/>
                <a:ea typeface="Lato Heavy"/>
                <a:cs typeface="Lato Heavy"/>
                <a:sym typeface="Lato Heavy"/>
              </a:rPr>
              <a:t>HUGO FAMILY TRANSPORTATION </a:t>
            </a:r>
          </a:p>
        </xdr:txBody>
      </xdr:sp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74B74F71-FA43-7178-1FA0-34711AEB19F3}"/>
              </a:ext>
            </a:extLst>
          </xdr:cNvPr>
          <xdr:cNvGrpSpPr/>
        </xdr:nvGrpSpPr>
        <xdr:grpSpPr>
          <a:xfrm>
            <a:off x="8295765" y="4419005"/>
            <a:ext cx="2371846" cy="222978"/>
            <a:chOff x="8338812" y="4463317"/>
            <a:chExt cx="2386573" cy="222978"/>
          </a:xfrm>
        </xdr:grpSpPr>
        <xdr:sp macro="" textlink="">
          <xdr:nvSpPr>
            <xdr:cNvPr id="168" name="TextBox 107">
              <a:extLst>
                <a:ext uri="{FF2B5EF4-FFF2-40B4-BE49-F238E27FC236}">
                  <a16:creationId xmlns:a16="http://schemas.microsoft.com/office/drawing/2014/main" id="{83DBCA94-45FC-D39A-D91C-11D6FC877050}"/>
                </a:ext>
              </a:extLst>
            </xdr:cNvPr>
            <xdr:cNvSpPr txBox="1"/>
          </xdr:nvSpPr>
          <xdr:spPr>
            <a:xfrm>
              <a:off x="8338812" y="4468287"/>
              <a:ext cx="1335274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HUGO, TAMA </a:t>
              </a:r>
            </a:p>
          </xdr:txBody>
        </xdr:sp>
        <xdr:sp macro="" textlink="">
          <xdr:nvSpPr>
            <xdr:cNvPr id="169" name="TextBox 107">
              <a:extLst>
                <a:ext uri="{FF2B5EF4-FFF2-40B4-BE49-F238E27FC236}">
                  <a16:creationId xmlns:a16="http://schemas.microsoft.com/office/drawing/2014/main" id="{5352CAD1-8564-25C6-B175-ABBDC783622B}"/>
                </a:ext>
              </a:extLst>
            </xdr:cNvPr>
            <xdr:cNvSpPr txBox="1"/>
          </xdr:nvSpPr>
          <xdr:spPr>
            <a:xfrm>
              <a:off x="10089163" y="4463317"/>
              <a:ext cx="636222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0">
                  <a:solidFill>
                    <a:srgbClr val="00BF63"/>
                  </a:solidFill>
                  <a:latin typeface="Poppins"/>
                  <a:ea typeface="Poppins"/>
                  <a:cs typeface="Poppins"/>
                  <a:sym typeface="Poppins"/>
                </a:rPr>
                <a:t>Added</a:t>
              </a:r>
            </a:p>
          </xdr:txBody>
        </xdr:sp>
      </xdr:grpSp>
    </xdr:grpSp>
    <xdr:clientData/>
  </xdr:twoCellAnchor>
  <xdr:twoCellAnchor>
    <xdr:from>
      <xdr:col>13</xdr:col>
      <xdr:colOff>103414</xdr:colOff>
      <xdr:row>32</xdr:row>
      <xdr:rowOff>85130</xdr:rowOff>
    </xdr:from>
    <xdr:to>
      <xdr:col>18</xdr:col>
      <xdr:colOff>180975</xdr:colOff>
      <xdr:row>35</xdr:row>
      <xdr:rowOff>47625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BDB6B7C9-4215-435D-83F7-F86897D11077}"/>
            </a:ext>
          </a:extLst>
        </xdr:cNvPr>
        <xdr:cNvGrpSpPr/>
      </xdr:nvGrpSpPr>
      <xdr:grpSpPr>
        <a:xfrm>
          <a:off x="7969943" y="6181130"/>
          <a:ext cx="3103150" cy="533995"/>
          <a:chOff x="8047264" y="4133255"/>
          <a:chExt cx="3125561" cy="533995"/>
        </a:xfrm>
      </xdr:grpSpPr>
      <xdr:sp macro="" textlink="">
        <xdr:nvSpPr>
          <xdr:cNvPr id="171" name="TextBox 103">
            <a:extLst>
              <a:ext uri="{FF2B5EF4-FFF2-40B4-BE49-F238E27FC236}">
                <a16:creationId xmlns:a16="http://schemas.microsoft.com/office/drawing/2014/main" id="{5C245A09-AA8C-809C-4925-D953D37B1A7A}"/>
              </a:ext>
            </a:extLst>
          </xdr:cNvPr>
          <xdr:cNvSpPr txBox="1"/>
        </xdr:nvSpPr>
        <xdr:spPr>
          <a:xfrm>
            <a:off x="8047264" y="4133255"/>
            <a:ext cx="3125561" cy="533995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2239"/>
              </a:lnSpc>
            </a:pPr>
            <a:r>
              <a:rPr lang="en-US" sz="1400" b="1">
                <a:solidFill>
                  <a:srgbClr val="252525"/>
                </a:solidFill>
                <a:latin typeface="Lato Heavy"/>
                <a:ea typeface="Lato Heavy"/>
                <a:cs typeface="Lato Heavy"/>
                <a:sym typeface="Lato Heavy"/>
              </a:rPr>
              <a:t>NORTHCAL TRANSPORTATION LLC</a:t>
            </a:r>
          </a:p>
        </xdr:txBody>
      </xdr:sp>
      <xdr:grpSp>
        <xdr:nvGrpSpPr>
          <xdr:cNvPr id="172" name="Group 171">
            <a:extLst>
              <a:ext uri="{FF2B5EF4-FFF2-40B4-BE49-F238E27FC236}">
                <a16:creationId xmlns:a16="http://schemas.microsoft.com/office/drawing/2014/main" id="{AD833933-6037-7A41-A737-5F4088444830}"/>
              </a:ext>
            </a:extLst>
          </xdr:cNvPr>
          <xdr:cNvGrpSpPr/>
        </xdr:nvGrpSpPr>
        <xdr:grpSpPr>
          <a:xfrm>
            <a:off x="8295761" y="4419005"/>
            <a:ext cx="2591312" cy="238720"/>
            <a:chOff x="8338812" y="4463317"/>
            <a:chExt cx="2607402" cy="238720"/>
          </a:xfrm>
        </xdr:grpSpPr>
        <xdr:sp macro="" textlink="">
          <xdr:nvSpPr>
            <xdr:cNvPr id="173" name="TextBox 107">
              <a:extLst>
                <a:ext uri="{FF2B5EF4-FFF2-40B4-BE49-F238E27FC236}">
                  <a16:creationId xmlns:a16="http://schemas.microsoft.com/office/drawing/2014/main" id="{976FF00C-FAAA-3CC2-BDB8-CABA8BB6CE6C}"/>
                </a:ext>
              </a:extLst>
            </xdr:cNvPr>
            <xdr:cNvSpPr txBox="1"/>
          </xdr:nvSpPr>
          <xdr:spPr>
            <a:xfrm>
              <a:off x="8338812" y="4468287"/>
              <a:ext cx="1754415" cy="214700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VILCHEZ, CHARLENNE </a:t>
              </a:r>
            </a:p>
          </xdr:txBody>
        </xdr:sp>
        <xdr:sp macro="" textlink="">
          <xdr:nvSpPr>
            <xdr:cNvPr id="174" name="TextBox 107">
              <a:extLst>
                <a:ext uri="{FF2B5EF4-FFF2-40B4-BE49-F238E27FC236}">
                  <a16:creationId xmlns:a16="http://schemas.microsoft.com/office/drawing/2014/main" id="{99A26F50-3619-BBCA-BB52-2AC11F4AA825}"/>
                </a:ext>
              </a:extLst>
            </xdr:cNvPr>
            <xdr:cNvSpPr txBox="1"/>
          </xdr:nvSpPr>
          <xdr:spPr>
            <a:xfrm>
              <a:off x="10089162" y="4463317"/>
              <a:ext cx="857052" cy="238720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0">
                  <a:solidFill>
                    <a:srgbClr val="FF0000"/>
                  </a:solidFill>
                  <a:latin typeface="Poppins"/>
                  <a:ea typeface="Poppins"/>
                  <a:cs typeface="Poppins"/>
                  <a:sym typeface="Poppins"/>
                </a:rPr>
                <a:t>Removed</a:t>
              </a:r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493059</xdr:colOff>
      <xdr:row>0</xdr:row>
      <xdr:rowOff>0</xdr:rowOff>
    </xdr:from>
    <xdr:to>
      <xdr:col>5</xdr:col>
      <xdr:colOff>162197</xdr:colOff>
      <xdr:row>3</xdr:row>
      <xdr:rowOff>0</xdr:rowOff>
    </xdr:to>
    <xdr:sp macro="" textlink="">
      <xdr:nvSpPr>
        <xdr:cNvPr id="2" name="Freeform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D5184A-CF40-44BF-ADB8-7886EADCC799}"/>
            </a:ext>
          </a:extLst>
        </xdr:cNvPr>
        <xdr:cNvSpPr/>
      </xdr:nvSpPr>
      <xdr:spPr>
        <a:xfrm>
          <a:off x="5345206" y="0"/>
          <a:ext cx="1484491" cy="571500"/>
        </a:xfrm>
        <a:custGeom>
          <a:avLst/>
          <a:gdLst/>
          <a:ahLst/>
          <a:cxnLst/>
          <a:rect l="l" t="t" r="r" b="b"/>
          <a:pathLst>
            <a:path w="718918" h="373405">
              <a:moveTo>
                <a:pt x="76578" y="0"/>
              </a:moveTo>
              <a:lnTo>
                <a:pt x="642340" y="0"/>
              </a:lnTo>
              <a:cubicBezTo>
                <a:pt x="662650" y="0"/>
                <a:pt x="682128" y="8068"/>
                <a:pt x="696489" y="22429"/>
              </a:cubicBezTo>
              <a:cubicBezTo>
                <a:pt x="710850" y="36791"/>
                <a:pt x="718918" y="56269"/>
                <a:pt x="718918" y="76578"/>
              </a:cubicBezTo>
              <a:lnTo>
                <a:pt x="718918" y="296826"/>
              </a:lnTo>
              <a:cubicBezTo>
                <a:pt x="718918" y="317136"/>
                <a:pt x="710850" y="336614"/>
                <a:pt x="696489" y="350975"/>
              </a:cubicBezTo>
              <a:cubicBezTo>
                <a:pt x="682128" y="365337"/>
                <a:pt x="662650" y="373405"/>
                <a:pt x="642340" y="373405"/>
              </a:cubicBezTo>
              <a:lnTo>
                <a:pt x="76578" y="373405"/>
              </a:lnTo>
              <a:cubicBezTo>
                <a:pt x="56269" y="373405"/>
                <a:pt x="36791" y="365337"/>
                <a:pt x="22429" y="350975"/>
              </a:cubicBezTo>
              <a:cubicBezTo>
                <a:pt x="8068" y="336614"/>
                <a:pt x="0" y="317136"/>
                <a:pt x="0" y="296826"/>
              </a:cubicBezTo>
              <a:lnTo>
                <a:pt x="0" y="76578"/>
              </a:lnTo>
              <a:cubicBezTo>
                <a:pt x="0" y="56269"/>
                <a:pt x="8068" y="36791"/>
                <a:pt x="22429" y="22429"/>
              </a:cubicBezTo>
              <a:cubicBezTo>
                <a:pt x="36791" y="8068"/>
                <a:pt x="56269" y="0"/>
                <a:pt x="76578" y="0"/>
              </a:cubicBezTo>
              <a:close/>
            </a:path>
          </a:pathLst>
        </a:custGeom>
        <a:solidFill>
          <a:schemeClr val="accent1">
            <a:lumMod val="50000"/>
          </a:schemeClr>
        </a:solidFill>
      </xdr:spPr>
      <xdr:txBody>
        <a:bodyPr wrap="square"/>
        <a:lstStyle/>
        <a:p>
          <a:endParaRPr lang="en-PH" sz="700"/>
        </a:p>
      </xdr:txBody>
    </xdr:sp>
    <xdr:clientData/>
  </xdr:twoCellAnchor>
  <xdr:twoCellAnchor>
    <xdr:from>
      <xdr:col>3</xdr:col>
      <xdr:colOff>707373</xdr:colOff>
      <xdr:row>0</xdr:row>
      <xdr:rowOff>0</xdr:rowOff>
    </xdr:from>
    <xdr:to>
      <xdr:col>5</xdr:col>
      <xdr:colOff>132997</xdr:colOff>
      <xdr:row>2</xdr:row>
      <xdr:rowOff>95249</xdr:rowOff>
    </xdr:to>
    <xdr:sp macro="" textlink="">
      <xdr:nvSpPr>
        <xdr:cNvPr id="3" name="TextBox 8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487BE-2A40-49FD-AF8C-BE57D60EE534}"/>
            </a:ext>
          </a:extLst>
        </xdr:cNvPr>
        <xdr:cNvSpPr txBox="1"/>
      </xdr:nvSpPr>
      <xdr:spPr>
        <a:xfrm>
          <a:off x="5559520" y="0"/>
          <a:ext cx="1240977" cy="476249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3919"/>
            </a:lnSpc>
          </a:pPr>
          <a:r>
            <a:rPr lang="en-US" sz="2400" b="1">
              <a:solidFill>
                <a:srgbClr val="FFFFFF"/>
              </a:solidFill>
              <a:latin typeface="Sukar Heavy"/>
              <a:ea typeface="Sukar Heavy"/>
              <a:cs typeface="Sukar Heavy"/>
              <a:sym typeface="Sukar Heavy"/>
            </a:rPr>
            <a:t>Go Back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eild\Downloads\Payroll%20Data%20Analysis\VDP_DIV5_1021_1103_FINAL.xlsm" TargetMode="External"/><Relationship Id="rId1" Type="http://schemas.openxmlformats.org/officeDocument/2006/relationships/externalLinkPath" Target="VDP_DIV5_1021_1103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EK ENDING DATES"/>
      <sheetName val="HOURS FOR VDP"/>
      <sheetName val="Hours_Working (2)"/>
      <sheetName val="Ticket Rate"/>
      <sheetName val="Review"/>
      <sheetName val="Sheet4"/>
      <sheetName val="PR DATE"/>
      <sheetName val="PRExportPrep"/>
      <sheetName val="Sheet2"/>
      <sheetName val="NewSheet"/>
      <sheetName val="OneSeatTickRate"/>
      <sheetName val="Deductions"/>
      <sheetName val="PartnerLookup"/>
      <sheetName val="Sheet3"/>
      <sheetName val="Hours_Working"/>
      <sheetName val="ONESEAT WKSHT"/>
      <sheetName val="CHECK AND BALANCES"/>
      <sheetName val="Fares_Big Star Export OS"/>
      <sheetName val="Fares_Big Star Export"/>
      <sheetName val="PrepSheet"/>
      <sheetName val="Fares_CCCTA_LAVTA"/>
      <sheetName val="Hourly_Rate"/>
      <sheetName val="DROPDOWN"/>
      <sheetName val="File Path"/>
      <sheetName val="PPGRate"/>
      <sheetName val="Path2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B125E0-3518-46C4-8D65-32F23C17C01F}" name="Table1" displayName="Table1" ref="B8:F13" totalsRowShown="0" headerRowDxfId="25" tableBorderDxfId="24">
  <autoFilter ref="B8:F13" xr:uid="{5FB125E0-3518-46C4-8D65-32F23C17C01F}"/>
  <tableColumns count="5">
    <tableColumn id="1" xr3:uid="{ADAE1BA9-7066-4113-9B35-37FEEFC574EA}" name="TRIPS"/>
    <tableColumn id="2" xr3:uid="{A33C0729-CFF6-411E-BB5F-7DF4373E8547}" name="HOURS"/>
    <tableColumn id="3" xr3:uid="{F3BD9FFE-D5C5-4EB9-94ED-C0AD6F19C950}" name="OPERATORS"/>
    <tableColumn id="4" xr3:uid="{6C2CF28B-8BEE-4E40-BC83-AB7FFF8B4CF4}" name="DAYS"/>
    <tableColumn id="5" xr3:uid="{DE582949-3CCE-4D08-892F-393B6F431F67}" name="TOTAL PA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76BFD4-B8C1-4EB6-8E02-4017CF03BBA4}" name="Table4" displayName="Table4" ref="B1:B3" totalsRowShown="0" headerRowDxfId="23">
  <autoFilter ref="B1:B3" xr:uid="{F876BFD4-B8C1-4EB6-8E02-4017CF03BBA4}"/>
  <tableColumns count="1">
    <tableColumn id="2" xr3:uid="{D42D5592-9550-45F6-8F53-DC5C2D4C6AE3}" name="FILE NAME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CD7D39-EF0B-4BF7-AA74-6D1BDF104A51}" name="Table6" displayName="Table6" ref="B18:C20" totalsRowShown="0" dataDxfId="22">
  <autoFilter ref="B18:C20" xr:uid="{62CD7D39-EF0B-4BF7-AA74-6D1BDF104A51}"/>
  <tableColumns count="2">
    <tableColumn id="1" xr3:uid="{3BF1CF39-75EB-40C9-A28A-E4B5B559CB9E}" name="OPERATOR NAME" dataDxfId="21"/>
    <tableColumn id="2" xr3:uid="{C94B332D-197D-4A37-AED9-4CA7D8DD94B6}" name="CHANGE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A6CA4F-69E7-4AA9-8ABA-573CA91B21E4}" name="Table8" displayName="Table8" ref="I8:L27" totalsRowShown="0" headerRowDxfId="19">
  <autoFilter ref="I8:L27" xr:uid="{24A6CA4F-69E7-4AA9-8ABA-573CA91B21E4}"/>
  <tableColumns count="4">
    <tableColumn id="1" xr3:uid="{4C09F004-CDB9-4EE0-A408-83174EAC35D6}" name="PARTNER" dataDxfId="18" dataCellStyle="Normal 2 2"/>
    <tableColumn id="2" xr3:uid="{06628224-2A34-4DFF-BB06-33B8804D464D}" name="PREVIOUS"/>
    <tableColumn id="3" xr3:uid="{C539CDEC-B03B-4666-80C0-0F353B60B1B9}" name="LATEST">
      <calculatedColumnFormula>IFERROR(SUMIFS([1]!Hours_Working[TRIPS],[1]!Hours_Working[PARTNER],I9),0)</calculatedColumnFormula>
    </tableColumn>
    <tableColumn id="4" xr3:uid="{58B334F6-6416-4AB4-9C73-612CDC5E407B}" name="CHANGE">
      <calculatedColumnFormula>K9-J9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9C6777-03AC-4CF9-A30E-75F2FC0BF08D}" name="Table83" displayName="Table83" ref="N8:Q27" totalsRowShown="0" headerRowDxfId="17">
  <autoFilter ref="N8:Q27" xr:uid="{A09C6777-03AC-4CF9-A30E-75F2FC0BF08D}"/>
  <tableColumns count="4">
    <tableColumn id="1" xr3:uid="{BD7ECD25-362A-4799-A061-BB479B4524F1}" name="PARTNER" dataDxfId="16" dataCellStyle="Normal 2 2"/>
    <tableColumn id="2" xr3:uid="{9FEE0F80-E1F7-4CD8-AE98-EB5E5E72AB41}" name="PREVIOUS"/>
    <tableColumn id="3" xr3:uid="{ECF8395B-A629-4C1E-818A-1B41BBB7F048}" name="LATEST"/>
    <tableColumn id="4" xr3:uid="{B692ADC8-16FC-4AAC-88CC-4B84EF749DD8}" name="CHANG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F1CD09-A0B3-45DD-8346-376F8488601B}" name="Table14" displayName="Table14" ref="B8:F13" totalsRowShown="0" headerRowDxfId="15" tableBorderDxfId="14">
  <autoFilter ref="B8:F13" xr:uid="{0BF1CD09-A0B3-45DD-8346-376F8488601B}"/>
  <tableColumns count="5">
    <tableColumn id="1" xr3:uid="{1F38B4EA-8930-4F1D-8C16-CCA3627343E6}" name="TRIPS"/>
    <tableColumn id="2" xr3:uid="{B70C72DA-36DA-4C4D-B84B-3B6C8E04210A}" name="HOURS"/>
    <tableColumn id="3" xr3:uid="{E29B00E3-C61B-4A4E-8050-95CB27A54F6F}" name="OPERATORS"/>
    <tableColumn id="4" xr3:uid="{7D8D093E-3622-4CE4-9286-A0982AFE75DF}" name="DAYS"/>
    <tableColumn id="5" xr3:uid="{87640AFD-0324-4454-8B5E-D486FC27D53C}" name="TOTAL PA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5F47D6-2B45-49EC-BC50-526803AB1807}" name="Table46" displayName="Table46" ref="B1:B3" totalsRowShown="0" headerRowDxfId="13">
  <autoFilter ref="B1:B3" xr:uid="{A25F47D6-2B45-49EC-BC50-526803AB1807}"/>
  <tableColumns count="1">
    <tableColumn id="2" xr3:uid="{434EC8B3-7C3C-4AEA-ADA6-03B7FE704AC5}" name="FILE NAME"/>
  </tableColumns>
  <tableStyleInfo name="TableStyleDark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26F64BD-AE95-4AD3-99A5-A0DA940DC214}" name="Table13" displayName="Table13" ref="B18:C22" totalsRowShown="0" headerRowDxfId="12">
  <autoFilter ref="B18:C22" xr:uid="{126F64BD-AE95-4AD3-99A5-A0DA940DC214}"/>
  <tableColumns count="2">
    <tableColumn id="1" xr3:uid="{B4E7EEC7-52CE-4A98-8548-31832B2DF42D}" name="OPERATOR NAME" dataCellStyle="Normal 2 2"/>
    <tableColumn id="2" xr3:uid="{E9B14A9E-2492-4E13-ADFF-41129404C4F8}" name="CHANG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9FFAD40-8FB6-477A-8575-86556911DA1F}" name="Table15" displayName="Table15" ref="I8:L23" totalsRowShown="0" headerRowDxfId="11">
  <autoFilter ref="I8:L23" xr:uid="{09FFAD40-8FB6-477A-8575-86556911DA1F}"/>
  <tableColumns count="4">
    <tableColumn id="1" xr3:uid="{38C699DA-A873-4C9A-9165-A08654793E71}" name="PARTNER" dataDxfId="10" dataCellStyle="Normal 2 2"/>
    <tableColumn id="2" xr3:uid="{1DB1A40D-1473-44E3-B8CA-392CA257160B}" name="PREVIOUS"/>
    <tableColumn id="3" xr3:uid="{E9D687FA-5BDC-408F-8647-EBFF50058A99}" name="LATEST"/>
    <tableColumn id="4" xr3:uid="{E598D279-6227-4F59-B817-32F305964BE8}" name="CHANGE">
      <calculatedColumnFormula>K9-J9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28AD05-FDDE-47B5-A80D-2F4DC5DEB94C}" name="Table16" displayName="Table16" ref="N8:Q23" totalsRowShown="0" headerRowDxfId="9">
  <autoFilter ref="N8:Q23" xr:uid="{C128AD05-FDDE-47B5-A80D-2F4DC5DEB94C}"/>
  <tableColumns count="4">
    <tableColumn id="1" xr3:uid="{039CD821-0AF7-4559-AA10-3B5152FA4A97}" name="CCTA PARTNER" dataDxfId="8" dataCellStyle="Normal 2 2"/>
    <tableColumn id="2" xr3:uid="{123489F2-46D7-4585-9BFB-39DEDFF3E921}" name="PREVIOUS"/>
    <tableColumn id="3" xr3:uid="{5ED3880F-ABD2-4163-B516-0E37A3CFA243}" name="LATEST"/>
    <tableColumn id="4" xr3:uid="{95BA39C8-9C2E-43FD-9589-F06261ECDD58}" name="CHANGE">
      <calculatedColumnFormula>P9-O9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B46C1E-78DA-44E5-8FD8-2DC13D2FC8B7}" name="Table1417" displayName="Table1417" ref="B8:F13" totalsRowShown="0" headerRowDxfId="7" tableBorderDxfId="6">
  <autoFilter ref="B8:F13" xr:uid="{B6B46C1E-78DA-44E5-8FD8-2DC13D2FC8B7}"/>
  <tableColumns count="5">
    <tableColumn id="1" xr3:uid="{CF02599D-AB7B-4B0F-B6EB-0037E12C9005}" name="TRIPS"/>
    <tableColumn id="2" xr3:uid="{7685D516-C786-4AB1-B924-6D5A10513095}" name="HOURS"/>
    <tableColumn id="3" xr3:uid="{D51EC17D-D0BF-4006-ADA3-40C43A49DD35}" name="OPERATORS"/>
    <tableColumn id="4" xr3:uid="{22A847E2-FDCC-48A0-BF31-8EDB20F233D8}" name="DAYS"/>
    <tableColumn id="5" xr3:uid="{9CC537BF-DF35-4302-BE98-80DA9BD7B209}" name="TOTAL PAID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5C484DA-27BB-4866-8B18-DBC680F64BE2}" name="Table4618" displayName="Table4618" ref="B1:B3" totalsRowShown="0" headerRowDxfId="5">
  <autoFilter ref="B1:B3" xr:uid="{85C484DA-27BB-4866-8B18-DBC680F64BE2}"/>
  <tableColumns count="1">
    <tableColumn id="2" xr3:uid="{B50BFE62-CEA1-4195-8E50-528A600A5CD2}" name="FILE NAME"/>
  </tableColumns>
  <tableStyleInfo name="TableStyleDark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7872191-2A80-460A-85A8-B46DAA8A6949}" name="Table21" displayName="Table21" ref="I8:L17" totalsRowShown="0" headerRowDxfId="4">
  <autoFilter ref="I8:L17" xr:uid="{17872191-2A80-460A-85A8-B46DAA8A6949}"/>
  <tableColumns count="4">
    <tableColumn id="1" xr3:uid="{E70C415E-CC4B-47A7-9C02-93B453C4E5A9}" name="PARTNER" dataDxfId="3" dataCellStyle="Normal 2 2"/>
    <tableColumn id="2" xr3:uid="{26DA25A3-C5F4-4F67-A904-5E39A2215D17}" name="PREVIOUS"/>
    <tableColumn id="3" xr3:uid="{DBC4BE62-A231-4DA7-89DB-EFA1B52CB8E2}" name="LATEST" dataCellStyle="Normal 2 2"/>
    <tableColumn id="4" xr3:uid="{7624C90F-365F-488A-8D04-3948C6357D7F}" name="CHANGE">
      <calculatedColumnFormula>K9-J9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73B1357-F75C-4229-A540-FCC61386A2BE}" name="Table22" displayName="Table22" ref="N8:Q17" totalsRowShown="0" headerRowDxfId="2">
  <autoFilter ref="N8:Q17" xr:uid="{173B1357-F75C-4229-A540-FCC61386A2BE}"/>
  <tableColumns count="4">
    <tableColumn id="1" xr3:uid="{890C99A0-891A-4971-A8A5-8E76E59F20BC}" name="PARTNER" dataDxfId="1" dataCellStyle="Normal 2 2"/>
    <tableColumn id="2" xr3:uid="{C19CCD25-2686-426E-A7EE-4092A37950D8}" name="PREVIOUS"/>
    <tableColumn id="3" xr3:uid="{FB3E7FBE-24AF-4484-A028-C7CF18F0A8C8}" name="LATEST" dataCellStyle="Normal 2 2"/>
    <tableColumn id="4" xr3:uid="{11781E81-CA55-485C-8022-FEE17F6F5A05}" name="CHANGE">
      <calculatedColumnFormula>P9-O9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7A996BF-D8D4-4806-A323-FB76804D3547}" name="Table23" displayName="Table23" ref="B18:C23" totalsRowShown="0" headerRowDxfId="0">
  <autoFilter ref="B18:C23" xr:uid="{17A996BF-D8D4-4806-A323-FB76804D3547}"/>
  <tableColumns count="2">
    <tableColumn id="1" xr3:uid="{BCDBFD90-5930-4D1B-AA4A-1E46FFD5D67B}" name="OPERATOR NAME" dataCellStyle="Normal 2 2"/>
    <tableColumn id="2" xr3:uid="{61541F9E-ABC1-43B6-B595-8865B5A07BDB}" name="CHAN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6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42112-5ECC-478A-BAEE-C62B840691DF}">
  <sheetPr codeName="Sheet1"/>
  <dimension ref="A1"/>
  <sheetViews>
    <sheetView zoomScale="85" zoomScaleNormal="85" workbookViewId="0"/>
  </sheetViews>
  <sheetFormatPr defaultRowHeight="15" x14ac:dyDescent="0.25"/>
  <cols>
    <col min="1" max="16384" width="9.140625" style="2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F0364-38C6-40D8-BEE5-72B46ACC2F63}">
  <dimension ref="A1:Q27"/>
  <sheetViews>
    <sheetView zoomScale="115" zoomScaleNormal="115" workbookViewId="0">
      <selection activeCell="F12" sqref="F12"/>
    </sheetView>
  </sheetViews>
  <sheetFormatPr defaultColWidth="11.140625" defaultRowHeight="15" x14ac:dyDescent="0.25"/>
  <cols>
    <col min="1" max="1" width="17.42578125" customWidth="1"/>
    <col min="2" max="2" width="38.5703125" bestFit="1" customWidth="1"/>
    <col min="3" max="3" width="16.5703125" bestFit="1" customWidth="1"/>
    <col min="4" max="4" width="13.85546875" bestFit="1" customWidth="1"/>
    <col min="5" max="5" width="13.42578125" customWidth="1"/>
    <col min="6" max="6" width="14.5703125" customWidth="1"/>
    <col min="7" max="7" width="11.7109375" bestFit="1" customWidth="1"/>
    <col min="9" max="9" width="38.5703125" bestFit="1" customWidth="1"/>
    <col min="10" max="10" width="12.140625" customWidth="1"/>
    <col min="11" max="11" width="9.28515625" customWidth="1"/>
    <col min="12" max="12" width="10.7109375" customWidth="1"/>
    <col min="14" max="14" width="38.5703125" bestFit="1" customWidth="1"/>
    <col min="15" max="15" width="12.42578125" bestFit="1" customWidth="1"/>
    <col min="16" max="16" width="9.85546875" bestFit="1" customWidth="1"/>
    <col min="17" max="17" width="11" bestFit="1" customWidth="1"/>
  </cols>
  <sheetData>
    <row r="1" spans="1:17" x14ac:dyDescent="0.25">
      <c r="B1" s="1" t="s">
        <v>1</v>
      </c>
    </row>
    <row r="2" spans="1:17" x14ac:dyDescent="0.25">
      <c r="B2" t="s">
        <v>7</v>
      </c>
    </row>
    <row r="3" spans="1:17" x14ac:dyDescent="0.25">
      <c r="B3" t="s">
        <v>8</v>
      </c>
    </row>
    <row r="4" spans="1:17" x14ac:dyDescent="0.25">
      <c r="B4" s="7"/>
    </row>
    <row r="7" spans="1:17" ht="23.25" x14ac:dyDescent="0.35">
      <c r="A7" s="35" t="s">
        <v>0</v>
      </c>
      <c r="B7" s="35"/>
      <c r="C7" s="35"/>
      <c r="D7" s="35"/>
      <c r="E7" s="35"/>
      <c r="F7" s="35"/>
      <c r="G7" s="8"/>
      <c r="I7" s="35" t="s">
        <v>39</v>
      </c>
      <c r="J7" s="35"/>
      <c r="K7" s="35"/>
      <c r="L7" s="35"/>
      <c r="M7" s="8"/>
      <c r="N7" s="35" t="s">
        <v>40</v>
      </c>
      <c r="O7" s="35"/>
      <c r="P7" s="35"/>
      <c r="Q7" s="35"/>
    </row>
    <row r="8" spans="1:17" x14ac:dyDescent="0.25">
      <c r="A8" s="14"/>
      <c r="B8" s="1" t="s">
        <v>2</v>
      </c>
      <c r="C8" s="1" t="s">
        <v>3</v>
      </c>
      <c r="D8" s="1" t="s">
        <v>4</v>
      </c>
      <c r="E8" s="1" t="s">
        <v>5</v>
      </c>
      <c r="F8" s="1" t="s">
        <v>6</v>
      </c>
      <c r="I8" s="1" t="s">
        <v>11</v>
      </c>
      <c r="J8" s="1" t="s">
        <v>38</v>
      </c>
      <c r="K8" s="1" t="s">
        <v>37</v>
      </c>
      <c r="L8" s="1" t="s">
        <v>10</v>
      </c>
      <c r="N8" s="1" t="s">
        <v>11</v>
      </c>
      <c r="O8" s="1" t="s">
        <v>38</v>
      </c>
      <c r="P8" s="1" t="s">
        <v>37</v>
      </c>
      <c r="Q8" s="1" t="s">
        <v>10</v>
      </c>
    </row>
    <row r="9" spans="1:17" ht="30" customHeight="1" x14ac:dyDescent="0.25">
      <c r="A9" s="15" t="s">
        <v>37</v>
      </c>
      <c r="B9" s="12">
        <v>3074</v>
      </c>
      <c r="C9" s="2">
        <v>2894.6220000000003</v>
      </c>
      <c r="D9" s="13">
        <v>36</v>
      </c>
      <c r="E9">
        <v>14</v>
      </c>
      <c r="F9" s="3">
        <v>92962.372555206777</v>
      </c>
      <c r="I9" s="21" t="s">
        <v>13</v>
      </c>
      <c r="J9">
        <v>838</v>
      </c>
      <c r="K9">
        <f>IFERROR(SUMIFS([1]!Hours_Working[TRIPS],[1]!Hours_Working[PARTNER],I9),0)</f>
        <v>786</v>
      </c>
      <c r="L9">
        <f>K9-J9</f>
        <v>-52</v>
      </c>
      <c r="N9" s="21" t="s">
        <v>13</v>
      </c>
      <c r="O9">
        <v>859.32300000000021</v>
      </c>
      <c r="P9">
        <v>841.91700000000026</v>
      </c>
      <c r="Q9">
        <v>-17.405999999999949</v>
      </c>
    </row>
    <row r="10" spans="1:17" x14ac:dyDescent="0.25">
      <c r="A10" s="25" t="s">
        <v>38</v>
      </c>
      <c r="B10" s="4">
        <v>3130</v>
      </c>
      <c r="C10" s="5">
        <v>2901.5309999999999</v>
      </c>
      <c r="D10">
        <v>36</v>
      </c>
      <c r="E10">
        <v>14</v>
      </c>
      <c r="F10" s="6">
        <v>93346.833995864668</v>
      </c>
      <c r="I10" s="22" t="s">
        <v>19</v>
      </c>
      <c r="J10">
        <v>115</v>
      </c>
      <c r="K10">
        <f>IFERROR(SUMIFS([1]!Hours_Working[TRIPS],[1]!Hours_Working[PARTNER],I10),0)</f>
        <v>108</v>
      </c>
      <c r="L10">
        <f t="shared" ref="L10:L27" si="0">K10-J10</f>
        <v>-7</v>
      </c>
      <c r="N10" s="22" t="s">
        <v>19</v>
      </c>
      <c r="O10">
        <v>119.749</v>
      </c>
      <c r="P10">
        <v>119.45600000000002</v>
      </c>
      <c r="Q10">
        <v>-0.29299999999997794</v>
      </c>
    </row>
    <row r="11" spans="1:17" x14ac:dyDescent="0.25">
      <c r="A11" s="24"/>
      <c r="B11" s="4"/>
      <c r="C11" s="5"/>
      <c r="F11" s="6"/>
      <c r="I11" s="22" t="s">
        <v>20</v>
      </c>
      <c r="J11">
        <v>139</v>
      </c>
      <c r="K11">
        <f>IFERROR(SUMIFS([1]!Hours_Working[TRIPS],[1]!Hours_Working[PARTNER],I11),0)</f>
        <v>120</v>
      </c>
      <c r="L11">
        <f t="shared" si="0"/>
        <v>-19</v>
      </c>
      <c r="N11" s="22" t="s">
        <v>20</v>
      </c>
      <c r="O11">
        <v>174.11299999999997</v>
      </c>
      <c r="P11">
        <v>159.76400000000001</v>
      </c>
      <c r="Q11">
        <v>-14.348999999999961</v>
      </c>
    </row>
    <row r="12" spans="1:17" x14ac:dyDescent="0.25">
      <c r="A12" s="17" t="s">
        <v>9</v>
      </c>
      <c r="B12" s="9">
        <f>B9-B10</f>
        <v>-56</v>
      </c>
      <c r="C12" s="10">
        <f>C9-C10</f>
        <v>-6.9089999999996508</v>
      </c>
      <c r="D12" s="9">
        <f>D9-D10</f>
        <v>0</v>
      </c>
      <c r="E12" s="9">
        <f>E9-E10</f>
        <v>0</v>
      </c>
      <c r="F12" s="11">
        <f t="shared" ref="F12" si="1">F9-F10</f>
        <v>-384.46144065789122</v>
      </c>
      <c r="I12" s="22" t="s">
        <v>21</v>
      </c>
      <c r="J12">
        <v>162</v>
      </c>
      <c r="K12">
        <f>IFERROR(SUMIFS([1]!Hours_Working[TRIPS],[1]!Hours_Working[PARTNER],I12),0)</f>
        <v>166</v>
      </c>
      <c r="L12">
        <f t="shared" si="0"/>
        <v>4</v>
      </c>
      <c r="N12" s="22" t="s">
        <v>21</v>
      </c>
      <c r="O12">
        <v>72.63</v>
      </c>
      <c r="P12">
        <v>76.77600000000001</v>
      </c>
      <c r="Q12">
        <v>4.146000000000015</v>
      </c>
    </row>
    <row r="13" spans="1:17" ht="15.75" thickBot="1" x14ac:dyDescent="0.3">
      <c r="A13" s="18" t="s">
        <v>10</v>
      </c>
      <c r="B13" s="16" t="str">
        <f>IF(B9&gt;B10, "Increased", IF(B9&lt;B10, "Decreased", "No Change"))</f>
        <v>Decreased</v>
      </c>
      <c r="C13" s="16" t="str">
        <f t="shared" ref="C13:F13" si="2">IF(C9&gt;C10, "Increased", IF(C9&lt;C10, "Decreased", "No Change"))</f>
        <v>Decreased</v>
      </c>
      <c r="D13" s="16" t="str">
        <f t="shared" si="2"/>
        <v>No Change</v>
      </c>
      <c r="E13" s="16" t="str">
        <f t="shared" si="2"/>
        <v>No Change</v>
      </c>
      <c r="F13" s="16" t="str">
        <f t="shared" si="2"/>
        <v>Decreased</v>
      </c>
      <c r="I13" s="22" t="s">
        <v>22</v>
      </c>
      <c r="J13">
        <v>246</v>
      </c>
      <c r="K13">
        <f>IFERROR(SUMIFS([1]!Hours_Working[TRIPS],[1]!Hours_Working[PARTNER],I13),0)</f>
        <v>239</v>
      </c>
      <c r="L13">
        <f t="shared" si="0"/>
        <v>-7</v>
      </c>
      <c r="N13" s="22" t="s">
        <v>22</v>
      </c>
      <c r="O13">
        <v>167.798</v>
      </c>
      <c r="P13">
        <v>164.16499999999999</v>
      </c>
      <c r="Q13">
        <v>-3.6330000000000098</v>
      </c>
    </row>
    <row r="14" spans="1:17" x14ac:dyDescent="0.25">
      <c r="I14" s="22" t="s">
        <v>23</v>
      </c>
      <c r="J14">
        <v>78</v>
      </c>
      <c r="K14">
        <f>IFERROR(SUMIFS([1]!Hours_Working[TRIPS],[1]!Hours_Working[PARTNER],I14),0)</f>
        <v>80</v>
      </c>
      <c r="L14">
        <f t="shared" si="0"/>
        <v>2</v>
      </c>
      <c r="N14" s="22" t="s">
        <v>23</v>
      </c>
      <c r="O14">
        <v>91.634</v>
      </c>
      <c r="P14">
        <v>98.833999999999989</v>
      </c>
      <c r="Q14">
        <v>7.1999999999999886</v>
      </c>
    </row>
    <row r="15" spans="1:17" x14ac:dyDescent="0.25">
      <c r="I15" s="22" t="s">
        <v>24</v>
      </c>
      <c r="J15">
        <v>184</v>
      </c>
      <c r="K15">
        <f>IFERROR(SUMIFS([1]!Hours_Working[TRIPS],[1]!Hours_Working[PARTNER],I15),0)</f>
        <v>220</v>
      </c>
      <c r="L15">
        <f t="shared" si="0"/>
        <v>36</v>
      </c>
      <c r="N15" s="22" t="s">
        <v>24</v>
      </c>
      <c r="O15">
        <v>77.301000000000002</v>
      </c>
      <c r="P15">
        <v>110.42500000000001</v>
      </c>
      <c r="Q15">
        <v>33.124000000000009</v>
      </c>
    </row>
    <row r="16" spans="1:17" x14ac:dyDescent="0.25">
      <c r="I16" s="22" t="s">
        <v>25</v>
      </c>
      <c r="J16">
        <v>88</v>
      </c>
      <c r="K16">
        <f>IFERROR(SUMIFS([1]!Hours_Working[TRIPS],[1]!Hours_Working[PARTNER],I16),0)</f>
        <v>90</v>
      </c>
      <c r="L16">
        <f t="shared" si="0"/>
        <v>2</v>
      </c>
      <c r="N16" s="22" t="s">
        <v>25</v>
      </c>
      <c r="O16">
        <v>100.401</v>
      </c>
      <c r="P16">
        <v>100</v>
      </c>
      <c r="Q16">
        <v>-0.40099999999999625</v>
      </c>
    </row>
    <row r="17" spans="1:17" ht="23.25" x14ac:dyDescent="0.35">
      <c r="A17" s="35" t="s">
        <v>18</v>
      </c>
      <c r="B17" s="35"/>
      <c r="C17" s="35"/>
      <c r="D17" s="8"/>
      <c r="E17" s="8"/>
      <c r="F17" s="8"/>
      <c r="I17" s="22" t="s">
        <v>26</v>
      </c>
      <c r="J17">
        <v>225</v>
      </c>
      <c r="K17">
        <f>IFERROR(SUMIFS([1]!Hours_Working[TRIPS],[1]!Hours_Working[PARTNER],I17),0)</f>
        <v>225</v>
      </c>
      <c r="L17">
        <f t="shared" si="0"/>
        <v>0</v>
      </c>
      <c r="N17" s="22" t="s">
        <v>26</v>
      </c>
      <c r="O17">
        <v>245.65099999999998</v>
      </c>
      <c r="P17">
        <v>232.91800000000001</v>
      </c>
      <c r="Q17">
        <v>-12.732999999999976</v>
      </c>
    </row>
    <row r="18" spans="1:17" x14ac:dyDescent="0.25">
      <c r="A18" s="20" t="s">
        <v>11</v>
      </c>
      <c r="B18" t="s">
        <v>12</v>
      </c>
      <c r="C18" t="s">
        <v>10</v>
      </c>
      <c r="I18" s="22" t="s">
        <v>27</v>
      </c>
      <c r="J18">
        <v>90</v>
      </c>
      <c r="K18">
        <f>IFERROR(SUMIFS([1]!Hours_Working[TRIPS],[1]!Hours_Working[PARTNER],I18),0)</f>
        <v>116</v>
      </c>
      <c r="L18">
        <f t="shared" si="0"/>
        <v>26</v>
      </c>
      <c r="N18" s="22" t="s">
        <v>27</v>
      </c>
      <c r="O18">
        <v>82.015000000000001</v>
      </c>
      <c r="P18">
        <v>103.19699999999999</v>
      </c>
      <c r="Q18">
        <v>21.181999999999988</v>
      </c>
    </row>
    <row r="19" spans="1:17" ht="21.75" customHeight="1" x14ac:dyDescent="0.25">
      <c r="A19" s="36" t="s">
        <v>13</v>
      </c>
      <c r="B19" s="19" t="s">
        <v>14</v>
      </c>
      <c r="C19" s="19" t="s">
        <v>15</v>
      </c>
      <c r="I19" s="23" t="s">
        <v>28</v>
      </c>
      <c r="J19">
        <v>101</v>
      </c>
      <c r="K19">
        <f>IFERROR(SUMIFS([1]!Hours_Working[TRIPS],[1]!Hours_Working[PARTNER],I19),0)</f>
        <v>90</v>
      </c>
      <c r="L19">
        <f t="shared" si="0"/>
        <v>-11</v>
      </c>
      <c r="N19" s="23" t="s">
        <v>28</v>
      </c>
      <c r="O19">
        <v>108.054</v>
      </c>
      <c r="P19">
        <v>112.49699999999999</v>
      </c>
      <c r="Q19">
        <v>4.4429999999999836</v>
      </c>
    </row>
    <row r="20" spans="1:17" ht="21" customHeight="1" x14ac:dyDescent="0.25">
      <c r="A20" s="36"/>
      <c r="B20" s="19" t="s">
        <v>16</v>
      </c>
      <c r="C20" s="19" t="s">
        <v>17</v>
      </c>
      <c r="I20" s="22" t="s">
        <v>29</v>
      </c>
      <c r="J20">
        <v>116</v>
      </c>
      <c r="K20">
        <f>IFERROR(SUMIFS([1]!Hours_Working[TRIPS],[1]!Hours_Working[PARTNER],I20),0)</f>
        <v>86</v>
      </c>
      <c r="L20">
        <f t="shared" si="0"/>
        <v>-30</v>
      </c>
      <c r="N20" s="22" t="s">
        <v>29</v>
      </c>
      <c r="O20">
        <v>107.91200000000001</v>
      </c>
      <c r="P20">
        <v>101.404</v>
      </c>
      <c r="Q20">
        <v>-6.5080000000000098</v>
      </c>
    </row>
    <row r="21" spans="1:17" x14ac:dyDescent="0.25">
      <c r="I21" s="22" t="s">
        <v>30</v>
      </c>
      <c r="J21">
        <v>101</v>
      </c>
      <c r="K21">
        <f>IFERROR(SUMIFS([1]!Hours_Working[TRIPS],[1]!Hours_Working[PARTNER],I21),0)</f>
        <v>92</v>
      </c>
      <c r="L21">
        <f t="shared" si="0"/>
        <v>-9</v>
      </c>
      <c r="N21" s="22" t="s">
        <v>30</v>
      </c>
      <c r="O21">
        <v>132.64600000000002</v>
      </c>
      <c r="P21">
        <v>99.629000000000019</v>
      </c>
      <c r="Q21">
        <v>-33.016999999999996</v>
      </c>
    </row>
    <row r="22" spans="1:17" x14ac:dyDescent="0.25">
      <c r="I22" s="22" t="s">
        <v>31</v>
      </c>
      <c r="J22">
        <v>88</v>
      </c>
      <c r="K22">
        <f>IFERROR(SUMIFS([1]!Hours_Working[TRIPS],[1]!Hours_Working[PARTNER],I22),0)</f>
        <v>83</v>
      </c>
      <c r="L22">
        <f t="shared" si="0"/>
        <v>-5</v>
      </c>
      <c r="N22" s="22" t="s">
        <v>31</v>
      </c>
      <c r="O22">
        <v>90.19</v>
      </c>
      <c r="P22">
        <v>102.90099999999998</v>
      </c>
      <c r="Q22">
        <v>12.710999999999984</v>
      </c>
    </row>
    <row r="23" spans="1:17" x14ac:dyDescent="0.25">
      <c r="I23" s="22" t="s">
        <v>32</v>
      </c>
      <c r="J23">
        <v>124</v>
      </c>
      <c r="K23">
        <f>IFERROR(SUMIFS([1]!Hours_Working[TRIPS],[1]!Hours_Working[PARTNER],I23),0)</f>
        <v>105</v>
      </c>
      <c r="L23">
        <f t="shared" si="0"/>
        <v>-19</v>
      </c>
      <c r="N23" s="22" t="s">
        <v>32</v>
      </c>
      <c r="O23">
        <v>97.668000000000006</v>
      </c>
      <c r="P23">
        <v>98.634000000000015</v>
      </c>
      <c r="Q23">
        <v>0.96600000000000819</v>
      </c>
    </row>
    <row r="24" spans="1:17" x14ac:dyDescent="0.25">
      <c r="I24" s="22" t="s">
        <v>33</v>
      </c>
      <c r="J24">
        <v>79</v>
      </c>
      <c r="K24">
        <f>IFERROR(SUMIFS([1]!Hours_Working[TRIPS],[1]!Hours_Working[PARTNER],I24),0)</f>
        <v>97</v>
      </c>
      <c r="L24">
        <f t="shared" si="0"/>
        <v>18</v>
      </c>
      <c r="N24" s="22" t="s">
        <v>33</v>
      </c>
      <c r="O24">
        <v>106.42800000000001</v>
      </c>
      <c r="P24">
        <v>93.690999999999974</v>
      </c>
      <c r="Q24">
        <v>-12.737000000000037</v>
      </c>
    </row>
    <row r="25" spans="1:17" x14ac:dyDescent="0.25">
      <c r="I25" s="22" t="s">
        <v>34</v>
      </c>
      <c r="J25">
        <v>55</v>
      </c>
      <c r="K25">
        <f>IFERROR(SUMIFS([1]!Hours_Working[TRIPS],[1]!Hours_Working[PARTNER],I25),0)</f>
        <v>84</v>
      </c>
      <c r="L25">
        <f t="shared" si="0"/>
        <v>29</v>
      </c>
      <c r="N25" s="22" t="s">
        <v>34</v>
      </c>
      <c r="O25">
        <v>62.385999999999996</v>
      </c>
      <c r="P25">
        <v>85.931000000000012</v>
      </c>
      <c r="Q25">
        <v>23.545000000000016</v>
      </c>
    </row>
    <row r="26" spans="1:17" x14ac:dyDescent="0.25">
      <c r="I26" s="22" t="s">
        <v>35</v>
      </c>
      <c r="J26">
        <v>179</v>
      </c>
      <c r="K26">
        <f>IFERROR(SUMIFS([1]!Hours_Working[TRIPS],[1]!Hours_Working[PARTNER],I26),0)</f>
        <v>180</v>
      </c>
      <c r="L26">
        <f t="shared" si="0"/>
        <v>1</v>
      </c>
      <c r="N26" s="22" t="s">
        <v>35</v>
      </c>
      <c r="O26">
        <v>94.249000000000009</v>
      </c>
      <c r="P26">
        <v>92.716999999999999</v>
      </c>
      <c r="Q26">
        <v>-1.5320000000000107</v>
      </c>
    </row>
    <row r="27" spans="1:17" x14ac:dyDescent="0.25">
      <c r="I27" s="22" t="s">
        <v>36</v>
      </c>
      <c r="J27">
        <v>122</v>
      </c>
      <c r="K27">
        <f>IFERROR(SUMIFS([1]!Hours_Working[TRIPS],[1]!Hours_Working[PARTNER],I27),0)</f>
        <v>107</v>
      </c>
      <c r="L27">
        <f t="shared" si="0"/>
        <v>-15</v>
      </c>
      <c r="N27" s="22" t="s">
        <v>36</v>
      </c>
      <c r="O27">
        <v>111.38300000000001</v>
      </c>
      <c r="P27">
        <v>99.766000000000005</v>
      </c>
      <c r="Q27">
        <v>-11.617000000000004</v>
      </c>
    </row>
  </sheetData>
  <mergeCells count="5">
    <mergeCell ref="I7:L7"/>
    <mergeCell ref="A7:F7"/>
    <mergeCell ref="A19:A20"/>
    <mergeCell ref="A17:C17"/>
    <mergeCell ref="N7:Q7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FCB53-6D65-44B8-ACF4-380ABBB28CF9}">
  <dimension ref="A1"/>
  <sheetViews>
    <sheetView zoomScale="70" zoomScaleNormal="70" workbookViewId="0">
      <selection activeCell="S38" sqref="S38"/>
    </sheetView>
  </sheetViews>
  <sheetFormatPr defaultRowHeight="15" x14ac:dyDescent="0.25"/>
  <cols>
    <col min="1" max="16384" width="9.140625" style="26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AC30F-2ACC-4B9F-A339-654DF534D930}">
  <dimension ref="A1:Q27"/>
  <sheetViews>
    <sheetView tabSelected="1" zoomScale="85" zoomScaleNormal="85" workbookViewId="0">
      <selection activeCell="I31" sqref="I31"/>
    </sheetView>
  </sheetViews>
  <sheetFormatPr defaultColWidth="11.140625" defaultRowHeight="15" x14ac:dyDescent="0.25"/>
  <cols>
    <col min="1" max="1" width="17.42578125" customWidth="1"/>
    <col min="2" max="2" width="38.5703125" bestFit="1" customWidth="1"/>
    <col min="3" max="3" width="16.5703125" bestFit="1" customWidth="1"/>
    <col min="4" max="4" width="13.85546875" bestFit="1" customWidth="1"/>
    <col min="5" max="5" width="13.42578125" customWidth="1"/>
    <col min="6" max="6" width="14.5703125" customWidth="1"/>
    <col min="7" max="7" width="11.7109375" bestFit="1" customWidth="1"/>
    <col min="9" max="9" width="38.5703125" bestFit="1" customWidth="1"/>
    <col min="10" max="10" width="12.140625" customWidth="1"/>
    <col min="11" max="11" width="9.42578125" bestFit="1" customWidth="1"/>
    <col min="12" max="12" width="10.7109375" customWidth="1"/>
    <col min="14" max="14" width="38.5703125" bestFit="1" customWidth="1"/>
    <col min="15" max="15" width="12.42578125" bestFit="1" customWidth="1"/>
    <col min="16" max="16" width="10.5703125" bestFit="1" customWidth="1"/>
    <col min="17" max="17" width="11" bestFit="1" customWidth="1"/>
  </cols>
  <sheetData>
    <row r="1" spans="1:17" x14ac:dyDescent="0.25">
      <c r="B1" s="1" t="s">
        <v>1</v>
      </c>
    </row>
    <row r="2" spans="1:17" x14ac:dyDescent="0.25">
      <c r="B2" t="s">
        <v>7</v>
      </c>
    </row>
    <row r="3" spans="1:17" x14ac:dyDescent="0.25">
      <c r="B3" t="s">
        <v>8</v>
      </c>
    </row>
    <row r="4" spans="1:17" x14ac:dyDescent="0.25">
      <c r="B4" s="7"/>
    </row>
    <row r="7" spans="1:17" ht="23.25" x14ac:dyDescent="0.35">
      <c r="A7" s="35" t="s">
        <v>0</v>
      </c>
      <c r="B7" s="35"/>
      <c r="C7" s="35"/>
      <c r="D7" s="35"/>
      <c r="E7" s="35"/>
      <c r="F7" s="35"/>
      <c r="G7" s="8"/>
      <c r="I7" s="35" t="s">
        <v>39</v>
      </c>
      <c r="J7" s="35"/>
      <c r="K7" s="35"/>
      <c r="L7" s="35"/>
      <c r="M7" s="8"/>
      <c r="N7" s="35" t="s">
        <v>40</v>
      </c>
      <c r="O7" s="35"/>
      <c r="P7" s="35"/>
      <c r="Q7" s="35"/>
    </row>
    <row r="8" spans="1:17" x14ac:dyDescent="0.25">
      <c r="A8" s="14"/>
      <c r="B8" s="1" t="s">
        <v>2</v>
      </c>
      <c r="C8" s="1" t="s">
        <v>3</v>
      </c>
      <c r="D8" s="1" t="s">
        <v>4</v>
      </c>
      <c r="E8" s="1" t="s">
        <v>5</v>
      </c>
      <c r="F8" s="1" t="s">
        <v>6</v>
      </c>
      <c r="I8" s="1" t="s">
        <v>11</v>
      </c>
      <c r="J8" s="1" t="s">
        <v>38</v>
      </c>
      <c r="K8" s="1" t="s">
        <v>37</v>
      </c>
      <c r="L8" s="1" t="s">
        <v>10</v>
      </c>
      <c r="N8" s="1" t="s">
        <v>41</v>
      </c>
      <c r="O8" s="1" t="s">
        <v>38</v>
      </c>
      <c r="P8" s="1" t="s">
        <v>37</v>
      </c>
      <c r="Q8" s="1" t="s">
        <v>10</v>
      </c>
    </row>
    <row r="9" spans="1:17" ht="30" customHeight="1" x14ac:dyDescent="0.25">
      <c r="A9" s="15" t="s">
        <v>37</v>
      </c>
      <c r="B9" s="12">
        <v>1802</v>
      </c>
      <c r="C9" s="2">
        <v>1992.6800000000003</v>
      </c>
      <c r="D9" s="13">
        <v>27</v>
      </c>
      <c r="E9">
        <v>14</v>
      </c>
      <c r="F9" s="3">
        <v>63732.798362706781</v>
      </c>
      <c r="I9" s="28" t="s">
        <v>13</v>
      </c>
      <c r="J9">
        <v>478</v>
      </c>
      <c r="K9">
        <v>451</v>
      </c>
      <c r="L9">
        <f>K9-J9</f>
        <v>-27</v>
      </c>
      <c r="N9" s="28" t="s">
        <v>13</v>
      </c>
      <c r="O9">
        <v>521.81499999999994</v>
      </c>
      <c r="P9">
        <v>513.57199999999989</v>
      </c>
      <c r="Q9">
        <f>P9-O9</f>
        <v>-8.2430000000000518</v>
      </c>
    </row>
    <row r="10" spans="1:17" x14ac:dyDescent="0.25">
      <c r="A10" s="25" t="s">
        <v>38</v>
      </c>
      <c r="B10" s="4">
        <v>1852</v>
      </c>
      <c r="C10" s="5">
        <v>2019.0620000000001</v>
      </c>
      <c r="D10">
        <v>25</v>
      </c>
      <c r="E10">
        <v>14</v>
      </c>
      <c r="F10" s="6">
        <v>64687.625907531336</v>
      </c>
      <c r="I10" s="22" t="s">
        <v>19</v>
      </c>
      <c r="J10">
        <v>115</v>
      </c>
      <c r="K10">
        <v>108</v>
      </c>
      <c r="L10">
        <f t="shared" ref="L10:L22" si="0">K10-J10</f>
        <v>-7</v>
      </c>
      <c r="N10" s="22" t="s">
        <v>19</v>
      </c>
      <c r="O10">
        <v>119.749</v>
      </c>
      <c r="P10">
        <v>119.45600000000002</v>
      </c>
      <c r="Q10">
        <f t="shared" ref="Q10:Q22" si="1">P10-O10</f>
        <v>-0.29299999999997794</v>
      </c>
    </row>
    <row r="11" spans="1:17" x14ac:dyDescent="0.25">
      <c r="A11" s="24"/>
      <c r="B11" s="4"/>
      <c r="C11" s="5"/>
      <c r="F11" s="6"/>
      <c r="I11" s="22" t="s">
        <v>20</v>
      </c>
      <c r="J11">
        <v>139</v>
      </c>
      <c r="K11">
        <v>120</v>
      </c>
      <c r="L11">
        <f t="shared" si="0"/>
        <v>-19</v>
      </c>
      <c r="N11" s="22" t="s">
        <v>20</v>
      </c>
      <c r="O11">
        <v>174.11299999999997</v>
      </c>
      <c r="P11">
        <v>159.76400000000001</v>
      </c>
      <c r="Q11">
        <f t="shared" si="1"/>
        <v>-14.348999999999961</v>
      </c>
    </row>
    <row r="12" spans="1:17" x14ac:dyDescent="0.25">
      <c r="A12" s="17" t="s">
        <v>9</v>
      </c>
      <c r="B12" s="9">
        <f>B9-B10</f>
        <v>-50</v>
      </c>
      <c r="C12" s="10">
        <f>C9-C10</f>
        <v>-26.381999999999834</v>
      </c>
      <c r="D12" s="9">
        <f>D9-D10</f>
        <v>2</v>
      </c>
      <c r="E12" s="9">
        <f>E9-E10</f>
        <v>0</v>
      </c>
      <c r="F12" s="11">
        <f t="shared" ref="F12" si="2">F9-F10</f>
        <v>-954.82754482455493</v>
      </c>
      <c r="I12" s="22" t="s">
        <v>23</v>
      </c>
      <c r="J12">
        <v>78</v>
      </c>
      <c r="K12">
        <v>80</v>
      </c>
      <c r="L12">
        <f t="shared" si="0"/>
        <v>2</v>
      </c>
      <c r="N12" s="22" t="s">
        <v>23</v>
      </c>
      <c r="O12">
        <v>91.634</v>
      </c>
      <c r="P12">
        <v>98.833999999999989</v>
      </c>
      <c r="Q12">
        <f t="shared" si="1"/>
        <v>7.1999999999999886</v>
      </c>
    </row>
    <row r="13" spans="1:17" ht="15.75" thickBot="1" x14ac:dyDescent="0.3">
      <c r="A13" s="18" t="s">
        <v>10</v>
      </c>
      <c r="B13" s="16" t="str">
        <f>IF(B9&gt;B10, "Increased", IF(B9&lt;B10, "Decreased", "No Change"))</f>
        <v>Decreased</v>
      </c>
      <c r="C13" s="16" t="str">
        <f t="shared" ref="C13:F13" si="3">IF(C9&gt;C10, "Increased", IF(C9&lt;C10, "Decreased", "No Change"))</f>
        <v>Decreased</v>
      </c>
      <c r="D13" s="16" t="str">
        <f t="shared" si="3"/>
        <v>Increased</v>
      </c>
      <c r="E13" s="16" t="str">
        <f t="shared" si="3"/>
        <v>No Change</v>
      </c>
      <c r="F13" s="16" t="str">
        <f t="shared" si="3"/>
        <v>Decreased</v>
      </c>
      <c r="I13" s="22" t="s">
        <v>25</v>
      </c>
      <c r="J13">
        <v>88</v>
      </c>
      <c r="K13">
        <v>90</v>
      </c>
      <c r="L13">
        <f t="shared" si="0"/>
        <v>2</v>
      </c>
      <c r="N13" s="22" t="s">
        <v>25</v>
      </c>
      <c r="O13">
        <v>100.401</v>
      </c>
      <c r="P13">
        <v>100</v>
      </c>
      <c r="Q13">
        <f t="shared" si="1"/>
        <v>-0.40099999999999625</v>
      </c>
    </row>
    <row r="14" spans="1:17" x14ac:dyDescent="0.25">
      <c r="I14" s="22" t="s">
        <v>26</v>
      </c>
      <c r="J14">
        <v>211</v>
      </c>
      <c r="K14">
        <v>210</v>
      </c>
      <c r="L14">
        <f t="shared" si="0"/>
        <v>-1</v>
      </c>
      <c r="N14" s="22" t="s">
        <v>26</v>
      </c>
      <c r="O14">
        <v>230.46799999999996</v>
      </c>
      <c r="P14">
        <v>213.66700000000003</v>
      </c>
      <c r="Q14">
        <f t="shared" si="1"/>
        <v>-16.800999999999931</v>
      </c>
    </row>
    <row r="15" spans="1:17" x14ac:dyDescent="0.25">
      <c r="F15" s="31">
        <f>F12/F10</f>
        <v>-1.4760590320464798E-2</v>
      </c>
      <c r="I15" s="22" t="s">
        <v>27</v>
      </c>
      <c r="J15">
        <v>90</v>
      </c>
      <c r="K15">
        <v>106</v>
      </c>
      <c r="L15">
        <f t="shared" si="0"/>
        <v>16</v>
      </c>
      <c r="N15" s="22" t="s">
        <v>27</v>
      </c>
      <c r="O15">
        <v>82.015000000000001</v>
      </c>
      <c r="P15">
        <v>92.699999999999989</v>
      </c>
      <c r="Q15">
        <f t="shared" si="1"/>
        <v>10.684999999999988</v>
      </c>
    </row>
    <row r="16" spans="1:17" x14ac:dyDescent="0.25">
      <c r="I16" s="23" t="s">
        <v>28</v>
      </c>
      <c r="J16">
        <v>101</v>
      </c>
      <c r="K16">
        <v>90</v>
      </c>
      <c r="L16">
        <f t="shared" si="0"/>
        <v>-11</v>
      </c>
      <c r="N16" s="23" t="s">
        <v>28</v>
      </c>
      <c r="O16">
        <v>108.054</v>
      </c>
      <c r="P16">
        <v>112.49699999999999</v>
      </c>
      <c r="Q16">
        <f t="shared" si="1"/>
        <v>4.4429999999999836</v>
      </c>
    </row>
    <row r="17" spans="1:17" ht="23.25" x14ac:dyDescent="0.35">
      <c r="A17" s="35" t="s">
        <v>18</v>
      </c>
      <c r="B17" s="35"/>
      <c r="C17" s="35"/>
      <c r="D17" s="8"/>
      <c r="E17" s="8"/>
      <c r="F17" s="8"/>
      <c r="I17" s="22" t="s">
        <v>29</v>
      </c>
      <c r="J17">
        <v>116</v>
      </c>
      <c r="K17">
        <v>86</v>
      </c>
      <c r="L17">
        <f t="shared" si="0"/>
        <v>-30</v>
      </c>
      <c r="N17" s="22" t="s">
        <v>29</v>
      </c>
      <c r="O17">
        <v>107.91200000000001</v>
      </c>
      <c r="P17">
        <v>101.404</v>
      </c>
      <c r="Q17">
        <f t="shared" si="1"/>
        <v>-6.5080000000000098</v>
      </c>
    </row>
    <row r="18" spans="1:17" x14ac:dyDescent="0.25">
      <c r="A18" s="20" t="s">
        <v>11</v>
      </c>
      <c r="B18" s="1" t="s">
        <v>12</v>
      </c>
      <c r="C18" s="1" t="s">
        <v>10</v>
      </c>
      <c r="I18" s="22" t="s">
        <v>30</v>
      </c>
      <c r="J18">
        <v>101</v>
      </c>
      <c r="K18">
        <v>92</v>
      </c>
      <c r="L18">
        <f t="shared" si="0"/>
        <v>-9</v>
      </c>
      <c r="N18" s="22" t="s">
        <v>30</v>
      </c>
      <c r="O18">
        <v>132.64600000000002</v>
      </c>
      <c r="P18">
        <v>99.629000000000019</v>
      </c>
      <c r="Q18">
        <f t="shared" si="1"/>
        <v>-33.016999999999996</v>
      </c>
    </row>
    <row r="19" spans="1:17" ht="21.75" customHeight="1" x14ac:dyDescent="0.25">
      <c r="A19" s="37" t="s">
        <v>13</v>
      </c>
      <c r="B19" s="27" t="s">
        <v>14</v>
      </c>
      <c r="C19" t="s">
        <v>15</v>
      </c>
      <c r="I19" s="22" t="s">
        <v>31</v>
      </c>
      <c r="J19">
        <v>88</v>
      </c>
      <c r="K19">
        <v>83</v>
      </c>
      <c r="L19">
        <f t="shared" si="0"/>
        <v>-5</v>
      </c>
      <c r="N19" s="22" t="s">
        <v>31</v>
      </c>
      <c r="O19">
        <v>90.19</v>
      </c>
      <c r="P19">
        <v>102.90099999999998</v>
      </c>
      <c r="Q19">
        <f t="shared" si="1"/>
        <v>12.710999999999984</v>
      </c>
    </row>
    <row r="20" spans="1:17" ht="21" customHeight="1" x14ac:dyDescent="0.25">
      <c r="A20" s="37"/>
      <c r="B20" s="27" t="s">
        <v>16</v>
      </c>
      <c r="C20" t="s">
        <v>17</v>
      </c>
      <c r="I20" s="22" t="s">
        <v>32</v>
      </c>
      <c r="J20">
        <v>113</v>
      </c>
      <c r="K20">
        <v>105</v>
      </c>
      <c r="L20">
        <f t="shared" si="0"/>
        <v>-8</v>
      </c>
      <c r="N20" s="22" t="s">
        <v>32</v>
      </c>
      <c r="O20">
        <v>91.251000000000005</v>
      </c>
      <c r="P20">
        <v>98.634000000000015</v>
      </c>
      <c r="Q20">
        <f t="shared" si="1"/>
        <v>7.3830000000000098</v>
      </c>
    </row>
    <row r="21" spans="1:17" x14ac:dyDescent="0.25">
      <c r="A21" s="37"/>
      <c r="B21" s="27" t="s">
        <v>42</v>
      </c>
      <c r="C21" t="s">
        <v>15</v>
      </c>
      <c r="I21" s="22" t="s">
        <v>33</v>
      </c>
      <c r="J21">
        <v>79</v>
      </c>
      <c r="K21">
        <v>97</v>
      </c>
      <c r="L21">
        <f t="shared" si="0"/>
        <v>18</v>
      </c>
      <c r="N21" s="22" t="s">
        <v>33</v>
      </c>
      <c r="O21">
        <v>106.42800000000001</v>
      </c>
      <c r="P21">
        <v>93.690999999999974</v>
      </c>
      <c r="Q21">
        <f t="shared" si="1"/>
        <v>-12.737000000000037</v>
      </c>
    </row>
    <row r="22" spans="1:17" x14ac:dyDescent="0.25">
      <c r="A22" s="37"/>
      <c r="B22" s="27" t="s">
        <v>43</v>
      </c>
      <c r="C22" t="s">
        <v>15</v>
      </c>
      <c r="I22" s="22" t="s">
        <v>34</v>
      </c>
      <c r="J22">
        <v>55</v>
      </c>
      <c r="K22">
        <v>84</v>
      </c>
      <c r="L22">
        <f t="shared" si="0"/>
        <v>29</v>
      </c>
      <c r="N22" s="22" t="s">
        <v>34</v>
      </c>
      <c r="O22">
        <v>62.385999999999996</v>
      </c>
      <c r="P22">
        <v>85.931000000000012</v>
      </c>
      <c r="Q22">
        <f t="shared" si="1"/>
        <v>23.545000000000016</v>
      </c>
    </row>
    <row r="23" spans="1:17" x14ac:dyDescent="0.25">
      <c r="I23" s="32" t="s">
        <v>0</v>
      </c>
      <c r="J23" s="33">
        <f>SUM(J9:J22)</f>
        <v>1852</v>
      </c>
      <c r="K23" s="33">
        <f>SUM(K9:K22)</f>
        <v>1802</v>
      </c>
      <c r="L23">
        <f>K23-J23</f>
        <v>-50</v>
      </c>
      <c r="N23" s="22" t="s">
        <v>0</v>
      </c>
      <c r="O23" s="34">
        <f>SUM(O9:O22)</f>
        <v>2019.0620000000001</v>
      </c>
      <c r="P23" s="34">
        <f>SUM(P9:P22)</f>
        <v>1992.6800000000003</v>
      </c>
      <c r="Q23">
        <f>P23-O23</f>
        <v>-26.381999999999834</v>
      </c>
    </row>
    <row r="24" spans="1:17" x14ac:dyDescent="0.25">
      <c r="I24" s="22"/>
      <c r="N24" s="22"/>
    </row>
    <row r="25" spans="1:17" x14ac:dyDescent="0.25">
      <c r="I25" s="22"/>
      <c r="N25" s="22"/>
    </row>
    <row r="26" spans="1:17" x14ac:dyDescent="0.25">
      <c r="I26" s="22"/>
      <c r="N26" s="22"/>
    </row>
    <row r="27" spans="1:17" x14ac:dyDescent="0.25">
      <c r="I27" s="22"/>
      <c r="N27" s="22"/>
    </row>
  </sheetData>
  <mergeCells count="5">
    <mergeCell ref="A7:F7"/>
    <mergeCell ref="I7:L7"/>
    <mergeCell ref="N7:Q7"/>
    <mergeCell ref="A17:C17"/>
    <mergeCell ref="A19:A22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2BF53-08B4-422B-A107-5272A85BDE71}">
  <dimension ref="A1"/>
  <sheetViews>
    <sheetView zoomScale="85" zoomScaleNormal="85" workbookViewId="0"/>
  </sheetViews>
  <sheetFormatPr defaultRowHeight="15" x14ac:dyDescent="0.25"/>
  <cols>
    <col min="1" max="16384" width="9.140625" style="26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1DA5E-DBC8-422B-9FAE-3ED276EE5686}">
  <dimension ref="A1:Q23"/>
  <sheetViews>
    <sheetView zoomScale="85" zoomScaleNormal="85" workbookViewId="0">
      <selection activeCell="I7" sqref="I7:L7"/>
    </sheetView>
  </sheetViews>
  <sheetFormatPr defaultColWidth="11.140625" defaultRowHeight="15" x14ac:dyDescent="0.25"/>
  <cols>
    <col min="1" max="1" width="17.42578125" customWidth="1"/>
    <col min="2" max="2" width="38.5703125" bestFit="1" customWidth="1"/>
    <col min="3" max="3" width="16.5703125" bestFit="1" customWidth="1"/>
    <col min="4" max="4" width="13.85546875" bestFit="1" customWidth="1"/>
    <col min="5" max="5" width="13.42578125" customWidth="1"/>
    <col min="6" max="6" width="14.5703125" customWidth="1"/>
    <col min="7" max="7" width="11.7109375" bestFit="1" customWidth="1"/>
    <col min="9" max="9" width="38.5703125" bestFit="1" customWidth="1"/>
    <col min="10" max="10" width="12.140625" customWidth="1"/>
    <col min="11" max="11" width="11.85546875" customWidth="1"/>
    <col min="12" max="12" width="10.7109375" customWidth="1"/>
    <col min="14" max="14" width="38.5703125" bestFit="1" customWidth="1"/>
    <col min="15" max="15" width="12.42578125" bestFit="1" customWidth="1"/>
    <col min="16" max="16" width="13.28515625" customWidth="1"/>
    <col min="17" max="17" width="11" bestFit="1" customWidth="1"/>
  </cols>
  <sheetData>
    <row r="1" spans="1:17" x14ac:dyDescent="0.25">
      <c r="B1" s="1" t="s">
        <v>1</v>
      </c>
    </row>
    <row r="2" spans="1:17" x14ac:dyDescent="0.25">
      <c r="B2" t="s">
        <v>7</v>
      </c>
    </row>
    <row r="3" spans="1:17" x14ac:dyDescent="0.25">
      <c r="B3" t="s">
        <v>8</v>
      </c>
    </row>
    <row r="4" spans="1:17" x14ac:dyDescent="0.25">
      <c r="B4" s="7"/>
    </row>
    <row r="7" spans="1:17" ht="23.25" x14ac:dyDescent="0.35">
      <c r="A7" s="35" t="s">
        <v>0</v>
      </c>
      <c r="B7" s="35"/>
      <c r="C7" s="35"/>
      <c r="D7" s="35"/>
      <c r="E7" s="35"/>
      <c r="F7" s="35"/>
      <c r="G7" s="8"/>
      <c r="I7" s="35" t="s">
        <v>39</v>
      </c>
      <c r="J7" s="35"/>
      <c r="K7" s="35"/>
      <c r="L7" s="35"/>
      <c r="M7" s="8"/>
      <c r="N7" s="35" t="s">
        <v>40</v>
      </c>
      <c r="O7" s="35"/>
      <c r="P7" s="35"/>
      <c r="Q7" s="35"/>
    </row>
    <row r="8" spans="1:17" x14ac:dyDescent="0.25">
      <c r="A8" s="14"/>
      <c r="B8" s="1" t="s">
        <v>2</v>
      </c>
      <c r="C8" s="1" t="s">
        <v>3</v>
      </c>
      <c r="D8" s="1" t="s">
        <v>4</v>
      </c>
      <c r="E8" s="1" t="s">
        <v>5</v>
      </c>
      <c r="F8" s="1" t="s">
        <v>6</v>
      </c>
      <c r="I8" s="1" t="s">
        <v>11</v>
      </c>
      <c r="J8" s="1" t="s">
        <v>38</v>
      </c>
      <c r="K8" s="30" t="s">
        <v>37</v>
      </c>
      <c r="L8" s="1" t="s">
        <v>10</v>
      </c>
      <c r="N8" s="1" t="s">
        <v>11</v>
      </c>
      <c r="O8" s="1" t="s">
        <v>38</v>
      </c>
      <c r="P8" s="30" t="s">
        <v>37</v>
      </c>
      <c r="Q8" s="1" t="s">
        <v>10</v>
      </c>
    </row>
    <row r="9" spans="1:17" ht="30" customHeight="1" x14ac:dyDescent="0.25">
      <c r="A9" s="15" t="s">
        <v>37</v>
      </c>
      <c r="B9" s="12">
        <v>1272</v>
      </c>
      <c r="C9" s="2">
        <v>901.94200000000001</v>
      </c>
      <c r="D9" s="13">
        <v>13</v>
      </c>
      <c r="E9">
        <v>14</v>
      </c>
      <c r="F9" s="3">
        <v>29229.5741925</v>
      </c>
      <c r="I9" s="21" t="s">
        <v>13</v>
      </c>
      <c r="J9">
        <v>360</v>
      </c>
      <c r="K9" s="27">
        <v>335</v>
      </c>
      <c r="L9">
        <f>K9-J9</f>
        <v>-25</v>
      </c>
      <c r="N9" s="21" t="s">
        <v>13</v>
      </c>
      <c r="O9">
        <v>337.50799999999998</v>
      </c>
      <c r="P9" s="27">
        <v>328.34500000000014</v>
      </c>
      <c r="Q9">
        <f>P9-O9</f>
        <v>-9.1629999999998404</v>
      </c>
    </row>
    <row r="10" spans="1:17" x14ac:dyDescent="0.25">
      <c r="A10" s="25" t="s">
        <v>38</v>
      </c>
      <c r="B10" s="4">
        <v>1278</v>
      </c>
      <c r="C10" s="5">
        <v>882.46900000000005</v>
      </c>
      <c r="D10">
        <v>14</v>
      </c>
      <c r="E10">
        <v>14</v>
      </c>
      <c r="F10" s="6">
        <v>28659.208088333336</v>
      </c>
      <c r="I10" s="22" t="s">
        <v>21</v>
      </c>
      <c r="J10">
        <v>162</v>
      </c>
      <c r="K10" s="27">
        <v>166</v>
      </c>
      <c r="L10">
        <f t="shared" ref="L10:L17" si="0">K10-J10</f>
        <v>4</v>
      </c>
      <c r="N10" s="22" t="s">
        <v>21</v>
      </c>
      <c r="O10">
        <v>72.63</v>
      </c>
      <c r="P10" s="27">
        <v>76.77600000000001</v>
      </c>
      <c r="Q10">
        <f t="shared" ref="Q10:Q17" si="1">P10-O10</f>
        <v>4.146000000000015</v>
      </c>
    </row>
    <row r="11" spans="1:17" x14ac:dyDescent="0.25">
      <c r="A11" s="24"/>
      <c r="B11" s="4"/>
      <c r="C11" s="5"/>
      <c r="F11" s="6"/>
      <c r="I11" s="22" t="s">
        <v>22</v>
      </c>
      <c r="J11">
        <v>246</v>
      </c>
      <c r="K11" s="27">
        <v>239</v>
      </c>
      <c r="L11">
        <f t="shared" si="0"/>
        <v>-7</v>
      </c>
      <c r="N11" s="22" t="s">
        <v>22</v>
      </c>
      <c r="O11">
        <v>167.798</v>
      </c>
      <c r="P11" s="27">
        <v>164.16499999999999</v>
      </c>
      <c r="Q11">
        <f t="shared" si="1"/>
        <v>-3.6330000000000098</v>
      </c>
    </row>
    <row r="12" spans="1:17" x14ac:dyDescent="0.25">
      <c r="A12" s="17" t="s">
        <v>9</v>
      </c>
      <c r="B12" s="9">
        <f>B9-B10</f>
        <v>-6</v>
      </c>
      <c r="C12" s="10">
        <f>C9-C10</f>
        <v>19.472999999999956</v>
      </c>
      <c r="D12" s="9">
        <f>D9-D10</f>
        <v>-1</v>
      </c>
      <c r="E12" s="9">
        <f>E9-E10</f>
        <v>0</v>
      </c>
      <c r="F12" s="11">
        <f t="shared" ref="F12" si="2">F9-F10</f>
        <v>570.36610416666372</v>
      </c>
      <c r="I12" s="22" t="s">
        <v>24</v>
      </c>
      <c r="J12">
        <v>184</v>
      </c>
      <c r="K12" s="27">
        <v>220</v>
      </c>
      <c r="L12">
        <f t="shared" si="0"/>
        <v>36</v>
      </c>
      <c r="N12" s="22" t="s">
        <v>24</v>
      </c>
      <c r="O12">
        <v>77.301000000000002</v>
      </c>
      <c r="P12" s="27">
        <v>110.42500000000001</v>
      </c>
      <c r="Q12">
        <f t="shared" si="1"/>
        <v>33.124000000000009</v>
      </c>
    </row>
    <row r="13" spans="1:17" ht="15.75" thickBot="1" x14ac:dyDescent="0.3">
      <c r="A13" s="18" t="s">
        <v>10</v>
      </c>
      <c r="B13" s="16" t="str">
        <f>IF(B9&gt;B10, "Increased", IF(B9&lt;B10, "Decreased", "No Change"))</f>
        <v>Decreased</v>
      </c>
      <c r="C13" s="16" t="str">
        <f t="shared" ref="C13:F13" si="3">IF(C9&gt;C10, "Increased", IF(C9&lt;C10, "Decreased", "No Change"))</f>
        <v>Increased</v>
      </c>
      <c r="D13" s="16" t="str">
        <f t="shared" si="3"/>
        <v>Decreased</v>
      </c>
      <c r="E13" s="16" t="str">
        <f t="shared" si="3"/>
        <v>No Change</v>
      </c>
      <c r="F13" s="16" t="str">
        <f t="shared" si="3"/>
        <v>Increased</v>
      </c>
      <c r="I13" s="22" t="s">
        <v>26</v>
      </c>
      <c r="J13">
        <v>14</v>
      </c>
      <c r="K13" s="27">
        <v>15</v>
      </c>
      <c r="L13">
        <f t="shared" si="0"/>
        <v>1</v>
      </c>
      <c r="N13" s="22" t="s">
        <v>26</v>
      </c>
      <c r="O13">
        <v>15.183000000000002</v>
      </c>
      <c r="P13" s="27">
        <v>19.250999999999998</v>
      </c>
      <c r="Q13">
        <f t="shared" si="1"/>
        <v>4.0679999999999961</v>
      </c>
    </row>
    <row r="14" spans="1:17" x14ac:dyDescent="0.25">
      <c r="I14" s="22" t="s">
        <v>27</v>
      </c>
      <c r="J14">
        <v>0</v>
      </c>
      <c r="K14" s="27">
        <v>10</v>
      </c>
      <c r="L14">
        <f t="shared" si="0"/>
        <v>10</v>
      </c>
      <c r="N14" s="22" t="s">
        <v>27</v>
      </c>
      <c r="O14">
        <v>0</v>
      </c>
      <c r="P14" s="27">
        <v>10.497</v>
      </c>
      <c r="Q14">
        <f t="shared" si="1"/>
        <v>10.497</v>
      </c>
    </row>
    <row r="15" spans="1:17" x14ac:dyDescent="0.25">
      <c r="F15" s="31">
        <f>F12/F10</f>
        <v>1.9901670081346377E-2</v>
      </c>
      <c r="I15" s="22" t="s">
        <v>32</v>
      </c>
      <c r="J15">
        <v>11</v>
      </c>
      <c r="K15" s="27">
        <v>0</v>
      </c>
      <c r="L15">
        <f t="shared" si="0"/>
        <v>-11</v>
      </c>
      <c r="N15" s="22" t="s">
        <v>32</v>
      </c>
      <c r="O15">
        <v>6.4169999999999998</v>
      </c>
      <c r="P15" s="27">
        <v>0</v>
      </c>
      <c r="Q15">
        <f t="shared" si="1"/>
        <v>-6.4169999999999998</v>
      </c>
    </row>
    <row r="16" spans="1:17" x14ac:dyDescent="0.25">
      <c r="I16" s="22" t="s">
        <v>35</v>
      </c>
      <c r="J16">
        <v>179</v>
      </c>
      <c r="K16">
        <v>180</v>
      </c>
      <c r="L16">
        <f t="shared" si="0"/>
        <v>1</v>
      </c>
      <c r="N16" s="22" t="s">
        <v>35</v>
      </c>
      <c r="O16">
        <v>94.249000000000009</v>
      </c>
      <c r="P16" s="27">
        <v>92.716999999999999</v>
      </c>
      <c r="Q16">
        <f t="shared" si="1"/>
        <v>-1.5320000000000107</v>
      </c>
    </row>
    <row r="17" spans="1:17" ht="23.25" x14ac:dyDescent="0.35">
      <c r="A17" s="35" t="s">
        <v>18</v>
      </c>
      <c r="B17" s="35"/>
      <c r="C17" s="35"/>
      <c r="D17" s="8"/>
      <c r="E17" s="8"/>
      <c r="F17" s="8"/>
      <c r="I17" s="22" t="s">
        <v>36</v>
      </c>
      <c r="J17">
        <v>122</v>
      </c>
      <c r="K17">
        <v>107</v>
      </c>
      <c r="L17">
        <f t="shared" si="0"/>
        <v>-15</v>
      </c>
      <c r="N17" s="22" t="s">
        <v>36</v>
      </c>
      <c r="O17">
        <v>111.38300000000001</v>
      </c>
      <c r="P17">
        <v>99.766000000000005</v>
      </c>
      <c r="Q17">
        <f t="shared" si="1"/>
        <v>-11.617000000000004</v>
      </c>
    </row>
    <row r="18" spans="1:17" x14ac:dyDescent="0.25">
      <c r="A18" s="20" t="s">
        <v>11</v>
      </c>
      <c r="B18" s="1" t="s">
        <v>12</v>
      </c>
      <c r="C18" s="1" t="s">
        <v>10</v>
      </c>
      <c r="I18" s="22"/>
      <c r="N18" s="22"/>
    </row>
    <row r="19" spans="1:17" ht="21.75" customHeight="1" x14ac:dyDescent="0.25">
      <c r="A19" s="37" t="s">
        <v>13</v>
      </c>
      <c r="B19" s="27" t="s">
        <v>44</v>
      </c>
      <c r="C19" t="s">
        <v>15</v>
      </c>
      <c r="I19" s="22"/>
      <c r="N19" s="22"/>
    </row>
    <row r="20" spans="1:17" ht="21" customHeight="1" x14ac:dyDescent="0.25">
      <c r="A20" s="37"/>
      <c r="B20" s="27" t="s">
        <v>45</v>
      </c>
      <c r="C20" t="s">
        <v>17</v>
      </c>
      <c r="I20" s="22"/>
      <c r="N20" s="22"/>
    </row>
    <row r="21" spans="1:17" x14ac:dyDescent="0.25">
      <c r="A21" s="37"/>
      <c r="B21" s="27" t="s">
        <v>42</v>
      </c>
      <c r="C21" t="s">
        <v>17</v>
      </c>
      <c r="I21" s="22"/>
      <c r="N21" s="22"/>
    </row>
    <row r="22" spans="1:17" ht="45" x14ac:dyDescent="0.25">
      <c r="A22" s="29" t="s">
        <v>27</v>
      </c>
      <c r="B22" s="22" t="s">
        <v>46</v>
      </c>
      <c r="C22" t="s">
        <v>15</v>
      </c>
      <c r="I22" s="22"/>
      <c r="N22" s="22"/>
    </row>
    <row r="23" spans="1:17" ht="45" x14ac:dyDescent="0.25">
      <c r="A23" s="29" t="s">
        <v>32</v>
      </c>
      <c r="B23" s="27" t="s">
        <v>47</v>
      </c>
      <c r="C23" t="s">
        <v>17</v>
      </c>
      <c r="I23" s="22"/>
      <c r="N23" s="22"/>
    </row>
  </sheetData>
  <mergeCells count="5">
    <mergeCell ref="A7:F7"/>
    <mergeCell ref="I7:L7"/>
    <mergeCell ref="N7:Q7"/>
    <mergeCell ref="A17:C17"/>
    <mergeCell ref="A19:A2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Total Tables</vt:lpstr>
      <vt:lpstr>CCTA</vt:lpstr>
      <vt:lpstr>CCTA Tables</vt:lpstr>
      <vt:lpstr>LATVA</vt:lpstr>
      <vt:lpstr>LATVA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Neil Andrews Dojeta</cp:lastModifiedBy>
  <dcterms:created xsi:type="dcterms:W3CDTF">2025-01-22T11:45:59Z</dcterms:created>
  <dcterms:modified xsi:type="dcterms:W3CDTF">2025-01-24T09:19:15Z</dcterms:modified>
</cp:coreProperties>
</file>