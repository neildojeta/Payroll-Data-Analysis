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ayroll Analysis\"/>
    </mc:Choice>
  </mc:AlternateContent>
  <xr:revisionPtr revIDLastSave="0" documentId="13_ncr:1_{39AF6589-83D4-4D96-8252-072F566CBF3B}" xr6:coauthVersionLast="47" xr6:coauthVersionMax="47" xr10:uidLastSave="{00000000-0000-0000-0000-000000000000}"/>
  <bookViews>
    <workbookView xWindow="-120" yWindow="-120" windowWidth="29040" windowHeight="15840" activeTab="1" xr2:uid="{F751EC95-3E77-4C08-BD84-0DA0B59C4272}"/>
  </bookViews>
  <sheets>
    <sheet name="Dashboard" sheetId="1" r:id="rId1"/>
    <sheet name="Total Tables" sheetId="3" r:id="rId2"/>
  </sheets>
  <externalReferences>
    <externalReference r:id="rId3"/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7" i="3" l="1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E13" i="3"/>
  <c r="D13" i="3"/>
  <c r="C13" i="3"/>
  <c r="B12" i="3"/>
  <c r="F13" i="3"/>
  <c r="C12" i="3"/>
  <c r="B13" i="3"/>
  <c r="F12" i="3" l="1"/>
</calcChain>
</file>

<file path=xl/sharedStrings.xml><?xml version="1.0" encoding="utf-8"?>
<sst xmlns="http://schemas.openxmlformats.org/spreadsheetml/2006/main" count="46" uniqueCount="39">
  <si>
    <t>TOTAL</t>
  </si>
  <si>
    <t>FILE NAME</t>
  </si>
  <si>
    <t>TRIPS</t>
  </si>
  <si>
    <t>HOURS</t>
  </si>
  <si>
    <t>OPERATORS</t>
  </si>
  <si>
    <t>DAYS</t>
  </si>
  <si>
    <t>TOTAL PAID</t>
  </si>
  <si>
    <t>VDP_DIV5_1021_1103_FINAL</t>
  </si>
  <si>
    <t>DONE-VDP_DIV5_1007_1020_FINAL</t>
  </si>
  <si>
    <t>DIFFERENCE</t>
  </si>
  <si>
    <t>CHANGE</t>
  </si>
  <si>
    <t>PARTNER</t>
  </si>
  <si>
    <t>OPERATOR NAME</t>
  </si>
  <si>
    <t>EXPRESS TRANSPORTATION SERVICES, LLC</t>
  </si>
  <si>
    <t>BANKS, LENARD</t>
  </si>
  <si>
    <t>Added</t>
  </si>
  <si>
    <t>GIBBS, SAMUEL</t>
  </si>
  <si>
    <t>Removed</t>
  </si>
  <si>
    <t>OPERATOR</t>
  </si>
  <si>
    <t>GET CARE TRANSIT LLC</t>
  </si>
  <si>
    <t>QUICK RIDES CA</t>
  </si>
  <si>
    <t>TRI VALLEY TRANSPORTATION INC.</t>
  </si>
  <si>
    <t>NEMIA CARE LLC</t>
  </si>
  <si>
    <t>DIAMOND HILL TRANSPORTATION LLC</t>
  </si>
  <si>
    <t>PEOPLE FIRST TRANSIT LLC</t>
  </si>
  <si>
    <t>TRANSIT LTM LLC</t>
  </si>
  <si>
    <t>SYNERGY MEDICAL TRANSPORTATION LLC</t>
  </si>
  <si>
    <t>HUGO FAMILY TRANSPORTATION</t>
  </si>
  <si>
    <t>HIGHER-SELF LLC</t>
  </si>
  <si>
    <t>REM SOLUTIONS LLC</t>
  </si>
  <si>
    <t>MONAI&amp;SON'S LLC</t>
  </si>
  <si>
    <t>AARON TRANSPORTATION</t>
  </si>
  <si>
    <t>NORTHCAL TRANSPORTATION LLC</t>
  </si>
  <si>
    <t>FOWLER SENIOR TRANSIT LLC</t>
  </si>
  <si>
    <t>MADE EAZY LLC</t>
  </si>
  <si>
    <t>BUFFINGTON TRANSPORTATION LLC</t>
  </si>
  <si>
    <t>JORGE TRANSPORTATION</t>
  </si>
  <si>
    <t>LATEST</t>
  </si>
  <si>
    <t>PREVIOUS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</si>
</sst>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_-* #,##0.000_-;\-* #,##0.000_-;_-* &quot;-&quot;??_-;_-@_-"/>
    <numFmt numFmtId="166" formatCode="&quot;$&quot;#,##0.00"/>
    <numFmt numFmtId="167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AFAFA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6" fillId="0" borderId="0"/>
  </cellStyleXfs>
  <cellXfs count="29">
    <xf numFmtId="0" fontId="0" fillId="0" borderId="0" xfId="0"/>
    <xf numFmtId="0" fontId="5" fillId="2" borderId="0" xfId="0" applyFont="1" applyFill="1" applyAlignment="1">
      <alignment horizontal="center"/>
    </xf>
    <xf numFmtId="0" fontId="3" fillId="0" borderId="0" xfId="0" applyFont="1"/>
    <xf numFmtId="165" fontId="0" fillId="0" borderId="0" xfId="1" applyNumberFormat="1" applyFont="1" applyBorder="1"/>
    <xf numFmtId="166" fontId="0" fillId="0" borderId="0" xfId="1" applyNumberFormat="1" applyFont="1" applyBorder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3" fillId="0" borderId="0" xfId="0" applyFont="1" applyFill="1" applyBorder="1" applyAlignment="1">
      <alignment horizontal="right"/>
    </xf>
    <xf numFmtId="0" fontId="5" fillId="0" borderId="0" xfId="0" applyFont="1" applyFill="1" applyAlignment="1"/>
    <xf numFmtId="1" fontId="3" fillId="0" borderId="3" xfId="0" applyNumberFormat="1" applyFont="1" applyFill="1" applyBorder="1" applyAlignment="1">
      <alignment horizontal="right"/>
    </xf>
    <xf numFmtId="167" fontId="3" fillId="0" borderId="3" xfId="0" applyNumberFormat="1" applyFont="1" applyFill="1" applyBorder="1" applyAlignment="1">
      <alignment horizontal="right"/>
    </xf>
    <xf numFmtId="166" fontId="3" fillId="0" borderId="3" xfId="0" applyNumberFormat="1" applyFont="1" applyFill="1" applyBorder="1" applyAlignment="1">
      <alignment horizontal="right"/>
    </xf>
    <xf numFmtId="164" fontId="0" fillId="0" borderId="0" xfId="1" applyNumberFormat="1" applyFont="1" applyBorder="1" applyAlignment="1">
      <alignment horizontal="left"/>
    </xf>
    <xf numFmtId="0" fontId="0" fillId="0" borderId="0" xfId="0" applyAlignment="1">
      <alignment horizontal="right"/>
    </xf>
    <xf numFmtId="0" fontId="0" fillId="4" borderId="0" xfId="0" applyFill="1"/>
    <xf numFmtId="164" fontId="2" fillId="5" borderId="1" xfId="1" applyNumberFormat="1" applyFont="1" applyFill="1" applyBorder="1" applyAlignment="1">
      <alignment horizontal="right"/>
    </xf>
    <xf numFmtId="164" fontId="3" fillId="0" borderId="0" xfId="0" applyNumberFormat="1" applyFont="1" applyFill="1" applyBorder="1" applyAlignment="1">
      <alignment horizontal="right"/>
    </xf>
    <xf numFmtId="164" fontId="2" fillId="5" borderId="4" xfId="1" applyNumberFormat="1" applyFont="1" applyFill="1" applyBorder="1" applyAlignment="1">
      <alignment horizontal="right"/>
    </xf>
    <xf numFmtId="164" fontId="2" fillId="5" borderId="2" xfId="1" applyNumberFormat="1" applyFont="1" applyFill="1" applyBorder="1" applyAlignment="1">
      <alignment horizontal="right"/>
    </xf>
    <xf numFmtId="0" fontId="0" fillId="0" borderId="0" xfId="0" applyAlignment="1">
      <alignment wrapText="1"/>
    </xf>
    <xf numFmtId="0" fontId="2" fillId="7" borderId="0" xfId="0" applyFont="1" applyFill="1"/>
    <xf numFmtId="0" fontId="3" fillId="6" borderId="0" xfId="0" applyFont="1" applyFill="1" applyAlignment="1">
      <alignment horizontal="left" vertical="center" wrapText="1"/>
    </xf>
    <xf numFmtId="0" fontId="0" fillId="8" borderId="0" xfId="0" applyFill="1"/>
    <xf numFmtId="0" fontId="6" fillId="0" borderId="0" xfId="2" applyAlignment="1">
      <alignment vertical="top"/>
    </xf>
    <xf numFmtId="0" fontId="6" fillId="0" borderId="0" xfId="2" applyAlignment="1">
      <alignment horizontal="left"/>
    </xf>
    <xf numFmtId="0" fontId="7" fillId="0" borderId="0" xfId="2" applyFont="1" applyAlignment="1">
      <alignment horizontal="left"/>
    </xf>
    <xf numFmtId="164" fontId="4" fillId="3" borderId="5" xfId="0" applyNumberFormat="1" applyFont="1" applyFill="1" applyBorder="1"/>
    <xf numFmtId="164" fontId="2" fillId="7" borderId="1" xfId="0" applyNumberFormat="1" applyFont="1" applyFill="1" applyBorder="1" applyAlignment="1">
      <alignment horizontal="right"/>
    </xf>
  </cellXfs>
  <cellStyles count="3">
    <cellStyle name="Comma" xfId="1" builtinId="3"/>
    <cellStyle name="Normal" xfId="0" builtinId="0"/>
    <cellStyle name="Normal 2 2" xfId="2" xr:uid="{A4B870E7-F4EC-4195-AC04-206A375A97AA}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AFAFA"/>
      <color rgb="FF00BF63"/>
      <color rgb="FF305496"/>
      <color rgb="FF7E909A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png"/><Relationship Id="rId18" Type="http://schemas.openxmlformats.org/officeDocument/2006/relationships/image" Target="../media/image15.svg"/><Relationship Id="rId3" Type="http://schemas.openxmlformats.org/officeDocument/2006/relationships/image" Target="../media/image2.svg"/><Relationship Id="rId21" Type="http://schemas.openxmlformats.org/officeDocument/2006/relationships/image" Target="../media/image18.png"/><Relationship Id="rId7" Type="http://schemas.openxmlformats.org/officeDocument/2006/relationships/image" Target="../media/image5.png"/><Relationship Id="rId12" Type="http://schemas.openxmlformats.org/officeDocument/2006/relationships/image" Target="../media/image9.png"/><Relationship Id="rId17" Type="http://schemas.openxmlformats.org/officeDocument/2006/relationships/image" Target="../media/image14.png"/><Relationship Id="rId25" Type="http://schemas.openxmlformats.org/officeDocument/2006/relationships/image" Target="../media/image22.emf"/><Relationship Id="rId2" Type="http://schemas.openxmlformats.org/officeDocument/2006/relationships/image" Target="../media/image1.png"/><Relationship Id="rId16" Type="http://schemas.openxmlformats.org/officeDocument/2006/relationships/image" Target="../media/image13.png"/><Relationship Id="rId20" Type="http://schemas.openxmlformats.org/officeDocument/2006/relationships/image" Target="../media/image17.svg"/><Relationship Id="rId1" Type="http://schemas.openxmlformats.org/officeDocument/2006/relationships/hyperlink" Target="#Dashboard!A1"/><Relationship Id="rId6" Type="http://schemas.openxmlformats.org/officeDocument/2006/relationships/hyperlink" Target="#'Total Tables'!F12"/><Relationship Id="rId11" Type="http://schemas.openxmlformats.org/officeDocument/2006/relationships/hyperlink" Target="#'Total Tables'!A1"/><Relationship Id="rId24" Type="http://schemas.openxmlformats.org/officeDocument/2006/relationships/image" Target="../media/image21.emf"/><Relationship Id="rId5" Type="http://schemas.openxmlformats.org/officeDocument/2006/relationships/image" Target="../media/image4.svg"/><Relationship Id="rId15" Type="http://schemas.openxmlformats.org/officeDocument/2006/relationships/image" Target="../media/image12.png"/><Relationship Id="rId23" Type="http://schemas.openxmlformats.org/officeDocument/2006/relationships/image" Target="../media/image20.svg"/><Relationship Id="rId10" Type="http://schemas.openxmlformats.org/officeDocument/2006/relationships/image" Target="../media/image8.svg"/><Relationship Id="rId19" Type="http://schemas.openxmlformats.org/officeDocument/2006/relationships/image" Target="../media/image16.png"/><Relationship Id="rId4" Type="http://schemas.openxmlformats.org/officeDocument/2006/relationships/image" Target="../media/image3.png"/><Relationship Id="rId9" Type="http://schemas.openxmlformats.org/officeDocument/2006/relationships/image" Target="../media/image7.png"/><Relationship Id="rId14" Type="http://schemas.openxmlformats.org/officeDocument/2006/relationships/image" Target="../media/image11.png"/><Relationship Id="rId22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462169</xdr:colOff>
      <xdr:row>7</xdr:row>
      <xdr:rowOff>88209</xdr:rowOff>
    </xdr:from>
    <xdr:to>
      <xdr:col>2</xdr:col>
      <xdr:colOff>469209</xdr:colOff>
      <xdr:row>31</xdr:row>
      <xdr:rowOff>88210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7853CC5E-97E1-3F49-04BD-B9AE5FCD1723}"/>
            </a:ext>
          </a:extLst>
        </xdr:cNvPr>
        <xdr:cNvGrpSpPr/>
      </xdr:nvGrpSpPr>
      <xdr:grpSpPr>
        <a:xfrm>
          <a:off x="462169" y="1421709"/>
          <a:ext cx="1231683" cy="4572001"/>
          <a:chOff x="489502" y="1209674"/>
          <a:chExt cx="1232866" cy="4572001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5C3DCA56-F063-41AF-2349-BF2B4AA9CA50}"/>
              </a:ext>
            </a:extLst>
          </xdr:cNvPr>
          <xdr:cNvSpPr/>
        </xdr:nvSpPr>
        <xdr:spPr>
          <a:xfrm>
            <a:off x="561976" y="1209674"/>
            <a:ext cx="1092475" cy="4572001"/>
          </a:xfrm>
          <a:prstGeom prst="roundRect">
            <a:avLst>
              <a:gd name="adj" fmla="val 50000"/>
            </a:avLst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9" name="TextBox 112">
            <a:extLst>
              <a:ext uri="{FF2B5EF4-FFF2-40B4-BE49-F238E27FC236}">
                <a16:creationId xmlns:a16="http://schemas.microsoft.com/office/drawing/2014/main" id="{5E0A7860-4712-C376-4A17-8F4CA317D9BB}"/>
              </a:ext>
            </a:extLst>
          </xdr:cNvPr>
          <xdr:cNvSpPr txBox="1"/>
        </xdr:nvSpPr>
        <xdr:spPr>
          <a:xfrm>
            <a:off x="489502" y="329151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CCTA</a:t>
            </a:r>
          </a:p>
        </xdr:txBody>
      </xdr:sp>
      <xdr:sp macro="" textlink="">
        <xdr:nvSpPr>
          <xdr:cNvPr id="10" name="TextBox 112">
            <a:extLst>
              <a:ext uri="{FF2B5EF4-FFF2-40B4-BE49-F238E27FC236}">
                <a16:creationId xmlns:a16="http://schemas.microsoft.com/office/drawing/2014/main" id="{EA949F3F-79DB-4A4C-B5EF-F6A88B2C2A54}"/>
              </a:ext>
            </a:extLst>
          </xdr:cNvPr>
          <xdr:cNvSpPr txBox="1"/>
        </xdr:nvSpPr>
        <xdr:spPr>
          <a:xfrm>
            <a:off x="506068" y="399056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LATVA</a:t>
            </a:r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C49655A1-53A3-0A87-0D6A-268E3018F3AA}"/>
              </a:ext>
            </a:extLst>
          </xdr:cNvPr>
          <xdr:cNvGrpSpPr/>
        </xdr:nvGrpSpPr>
        <xdr:grpSpPr>
          <a:xfrm>
            <a:off x="775381" y="2296049"/>
            <a:ext cx="640948" cy="618645"/>
            <a:chOff x="512916" y="2597968"/>
            <a:chExt cx="212016" cy="220233"/>
          </a:xfrm>
        </xdr:grpSpPr>
        <xdr:grpSp>
          <xdr:nvGrpSpPr>
            <xdr:cNvPr id="19" name="Group 18">
              <a:extLst>
                <a:ext uri="{FF2B5EF4-FFF2-40B4-BE49-F238E27FC236}">
                  <a16:creationId xmlns:a16="http://schemas.microsoft.com/office/drawing/2014/main" id="{3E64A010-F445-BEE7-2868-8BB9D679A763}"/>
                </a:ext>
              </a:extLst>
            </xdr:cNvPr>
            <xdr:cNvGrpSpPr/>
          </xdr:nvGrpSpPr>
          <xdr:grpSpPr>
            <a:xfrm>
              <a:off x="512916" y="2597968"/>
              <a:ext cx="212016" cy="220233"/>
              <a:chOff x="-21006" y="47625"/>
              <a:chExt cx="812800" cy="844301"/>
            </a:xfrm>
          </xdr:grpSpPr>
          <xdr:sp macro="" textlink="">
            <xdr:nvSpPr>
              <xdr:cNvPr id="21" name="Freeform 14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1B3801C1-73FA-D7EB-7C28-AC5101981ED4}"/>
                  </a:ext>
                </a:extLst>
              </xdr:cNvPr>
              <xdr:cNvSpPr/>
            </xdr:nvSpPr>
            <xdr:spPr>
              <a:xfrm>
                <a:off x="-21006" y="79126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solidFill>
                <a:srgbClr val="000000"/>
              </a:soli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2" name="TextBox 15">
                <a:extLst>
                  <a:ext uri="{FF2B5EF4-FFF2-40B4-BE49-F238E27FC236}">
                    <a16:creationId xmlns:a16="http://schemas.microsoft.com/office/drawing/2014/main" id="{B3620FB1-65CB-5395-A2F6-9F036E6C2AF8}"/>
                  </a:ext>
                </a:extLst>
              </xdr:cNvPr>
              <xdr:cNvSpPr txBox="1"/>
            </xdr:nvSpPr>
            <xdr:spPr>
              <a:xfrm>
                <a:off x="76200" y="47625"/>
                <a:ext cx="660400" cy="68897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679"/>
                  </a:lnSpc>
                </a:pPr>
                <a:endParaRPr/>
              </a:p>
            </xdr:txBody>
          </xdr:sp>
        </xdr:grpSp>
        <xdr:sp macro="[0]!Freeform16_Click" textlink="">
          <xdr:nvSpPr>
            <xdr:cNvPr id="20" name="Freeform 16">
              <a:extLst>
                <a:ext uri="{FF2B5EF4-FFF2-40B4-BE49-F238E27FC236}">
                  <a16:creationId xmlns:a16="http://schemas.microsoft.com/office/drawing/2014/main" id="{ABF9B61E-9609-A6F6-6818-77A91967D621}"/>
                </a:ext>
              </a:extLst>
            </xdr:cNvPr>
            <xdr:cNvSpPr/>
          </xdr:nvSpPr>
          <xdr:spPr>
            <a:xfrm>
              <a:off x="552296" y="2655560"/>
              <a:ext cx="133255" cy="113267"/>
            </a:xfrm>
            <a:custGeom>
              <a:avLst/>
              <a:gdLst/>
              <a:ahLst/>
              <a:cxnLst/>
              <a:rect l="l" t="t" r="r" b="b"/>
              <a:pathLst>
                <a:path w="133255" h="113267">
                  <a:moveTo>
                    <a:pt x="0" y="0"/>
                  </a:moveTo>
                  <a:lnTo>
                    <a:pt x="133255" y="0"/>
                  </a:lnTo>
                  <a:lnTo>
                    <a:pt x="133255" y="113266"/>
                  </a:lnTo>
                  <a:lnTo>
                    <a:pt x="0" y="11326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">
                <a:extLs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</xdr:grpSp>
    <xdr:clientData/>
  </xdr:twoCellAnchor>
  <xdr:twoCellAnchor>
    <xdr:from>
      <xdr:col>12</xdr:col>
      <xdr:colOff>545319</xdr:colOff>
      <xdr:row>21</xdr:row>
      <xdr:rowOff>173086</xdr:rowOff>
    </xdr:from>
    <xdr:to>
      <xdr:col>13</xdr:col>
      <xdr:colOff>245859</xdr:colOff>
      <xdr:row>23</xdr:row>
      <xdr:rowOff>124888</xdr:rowOff>
    </xdr:to>
    <xdr:sp macro="" textlink="">
      <xdr:nvSpPr>
        <xdr:cNvPr id="110" name="TextBox 34">
          <a:extLst>
            <a:ext uri="{FF2B5EF4-FFF2-40B4-BE49-F238E27FC236}">
              <a16:creationId xmlns:a16="http://schemas.microsoft.com/office/drawing/2014/main" id="{D1A24903-8552-6869-6598-1F126CABE189}"/>
            </a:ext>
          </a:extLst>
        </xdr:cNvPr>
        <xdr:cNvSpPr txBox="1"/>
      </xdr:nvSpPr>
      <xdr:spPr>
        <a:xfrm>
          <a:off x="7870910" y="4173586"/>
          <a:ext cx="311006" cy="332802"/>
        </a:xfrm>
        <a:prstGeom prst="rect">
          <a:avLst/>
        </a:prstGeom>
      </xdr:spPr>
      <xdr:txBody>
        <a:bodyPr wrap="square" lIns="50800" tIns="50800" rIns="50800" bIns="5080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960"/>
            </a:lnSpc>
          </a:pPr>
          <a:endParaRPr/>
        </a:p>
      </xdr:txBody>
    </xdr:sp>
    <xdr:clientData/>
  </xdr:twoCellAnchor>
  <xdr:twoCellAnchor>
    <xdr:from>
      <xdr:col>12</xdr:col>
      <xdr:colOff>122464</xdr:colOff>
      <xdr:row>16</xdr:row>
      <xdr:rowOff>47030</xdr:rowOff>
    </xdr:from>
    <xdr:to>
      <xdr:col>19</xdr:col>
      <xdr:colOff>168089</xdr:colOff>
      <xdr:row>38</xdr:row>
      <xdr:rowOff>132083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333EF39D-1B96-E385-BDE1-73C28C01E08D}"/>
            </a:ext>
          </a:extLst>
        </xdr:cNvPr>
        <xdr:cNvGrpSpPr/>
      </xdr:nvGrpSpPr>
      <xdr:grpSpPr>
        <a:xfrm>
          <a:off x="7470321" y="3095030"/>
          <a:ext cx="4331875" cy="4276053"/>
          <a:chOff x="7383876" y="3095030"/>
          <a:chExt cx="4601108" cy="4276053"/>
        </a:xfrm>
      </xdr:grpSpPr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76AA69F9-6A99-39ED-5340-2FDE8235FF9E}"/>
              </a:ext>
            </a:extLst>
          </xdr:cNvPr>
          <xdr:cNvGrpSpPr/>
        </xdr:nvGrpSpPr>
        <xdr:grpSpPr>
          <a:xfrm>
            <a:off x="7383876" y="3095030"/>
            <a:ext cx="4601108" cy="4276053"/>
            <a:chOff x="0" y="-47625"/>
            <a:chExt cx="1646138" cy="1520374"/>
          </a:xfrm>
        </xdr:grpSpPr>
        <xdr:sp macro="" textlink="">
          <xdr:nvSpPr>
            <xdr:cNvPr id="111" name="Freeform 29">
              <a:extLst>
                <a:ext uri="{FF2B5EF4-FFF2-40B4-BE49-F238E27FC236}">
                  <a16:creationId xmlns:a16="http://schemas.microsoft.com/office/drawing/2014/main" id="{D95E38B3-4240-5C8C-6782-44C08934D366}"/>
                </a:ext>
              </a:extLst>
            </xdr:cNvPr>
            <xdr:cNvSpPr/>
          </xdr:nvSpPr>
          <xdr:spPr>
            <a:xfrm>
              <a:off x="0" y="0"/>
              <a:ext cx="1646138" cy="899857"/>
            </a:xfrm>
            <a:custGeom>
              <a:avLst/>
              <a:gdLst/>
              <a:ahLst/>
              <a:cxnLst/>
              <a:rect l="l" t="t" r="r" b="b"/>
              <a:pathLst>
                <a:path w="1646138" h="1472749">
                  <a:moveTo>
                    <a:pt x="28428" y="0"/>
                  </a:moveTo>
                  <a:lnTo>
                    <a:pt x="1617710" y="0"/>
                  </a:lnTo>
                  <a:cubicBezTo>
                    <a:pt x="1633411" y="0"/>
                    <a:pt x="1646138" y="12727"/>
                    <a:pt x="1646138" y="28428"/>
                  </a:cubicBezTo>
                  <a:lnTo>
                    <a:pt x="1646138" y="1444322"/>
                  </a:lnTo>
                  <a:cubicBezTo>
                    <a:pt x="1646138" y="1451861"/>
                    <a:pt x="1643143" y="1459092"/>
                    <a:pt x="1637812" y="1464423"/>
                  </a:cubicBezTo>
                  <a:cubicBezTo>
                    <a:pt x="1632480" y="1469754"/>
                    <a:pt x="1625250" y="1472749"/>
                    <a:pt x="1617710" y="1472749"/>
                  </a:cubicBezTo>
                  <a:lnTo>
                    <a:pt x="28428" y="1472749"/>
                  </a:lnTo>
                  <a:cubicBezTo>
                    <a:pt x="12727" y="1472749"/>
                    <a:pt x="0" y="1460022"/>
                    <a:pt x="0" y="1444322"/>
                  </a:cubicBezTo>
                  <a:lnTo>
                    <a:pt x="0" y="28428"/>
                  </a:lnTo>
                  <a:cubicBezTo>
                    <a:pt x="0" y="12727"/>
                    <a:pt x="12727" y="0"/>
                    <a:pt x="28428" y="0"/>
                  </a:cubicBezTo>
                  <a:close/>
                </a:path>
              </a:pathLst>
            </a:custGeom>
            <a:solidFill>
              <a:srgbClr val="FFFFFF"/>
            </a:solidFill>
            <a:ln cap="sq">
              <a:noFill/>
              <a:prstDash val="solid"/>
              <a:miter/>
            </a:ln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12" name="TextBox 30">
              <a:extLst>
                <a:ext uri="{FF2B5EF4-FFF2-40B4-BE49-F238E27FC236}">
                  <a16:creationId xmlns:a16="http://schemas.microsoft.com/office/drawing/2014/main" id="{40DF66C0-C82F-B9A0-BC50-E029B094044E}"/>
                </a:ext>
              </a:extLst>
            </xdr:cNvPr>
            <xdr:cNvSpPr txBox="1"/>
          </xdr:nvSpPr>
          <xdr:spPr>
            <a:xfrm>
              <a:off x="0" y="-47625"/>
              <a:ext cx="1646138" cy="1520374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</xdr:grpSp>
      <xdr:sp macro="" textlink="">
        <xdr:nvSpPr>
          <xdr:cNvPr id="81" name="Freeform 46">
            <a:extLst>
              <a:ext uri="{FF2B5EF4-FFF2-40B4-BE49-F238E27FC236}">
                <a16:creationId xmlns:a16="http://schemas.microsoft.com/office/drawing/2014/main" id="{0235878C-98F5-9B3D-79F7-6A3431EE1AAB}"/>
              </a:ext>
            </a:extLst>
          </xdr:cNvPr>
          <xdr:cNvSpPr/>
        </xdr:nvSpPr>
        <xdr:spPr>
          <a:xfrm>
            <a:off x="11552065" y="3588972"/>
            <a:ext cx="100086" cy="149348"/>
          </a:xfrm>
          <a:custGeom>
            <a:avLst/>
            <a:gdLst/>
            <a:ahLst/>
            <a:cxnLst/>
            <a:rect l="l" t="t" r="r" b="b"/>
            <a:pathLst>
              <a:path w="99896" h="149348">
                <a:moveTo>
                  <a:pt x="0" y="0"/>
                </a:moveTo>
                <a:lnTo>
                  <a:pt x="99895" y="0"/>
                </a:lnTo>
                <a:lnTo>
                  <a:pt x="99895" y="149347"/>
                </a:lnTo>
                <a:lnTo>
                  <a:pt x="0" y="14934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13</xdr:col>
      <xdr:colOff>497093</xdr:colOff>
      <xdr:row>18</xdr:row>
      <xdr:rowOff>109588</xdr:rowOff>
    </xdr:from>
    <xdr:to>
      <xdr:col>16</xdr:col>
      <xdr:colOff>229402</xdr:colOff>
      <xdr:row>19</xdr:row>
      <xdr:rowOff>178729</xdr:rowOff>
    </xdr:to>
    <xdr:sp macro="" textlink="">
      <xdr:nvSpPr>
        <xdr:cNvPr id="90" name="TextBox 87">
          <a:extLst>
            <a:ext uri="{FF2B5EF4-FFF2-40B4-BE49-F238E27FC236}">
              <a16:creationId xmlns:a16="http://schemas.microsoft.com/office/drawing/2014/main" id="{5CAB76B2-453D-BB76-E423-0AB4C2920DA5}"/>
            </a:ext>
          </a:extLst>
        </xdr:cNvPr>
        <xdr:cNvSpPr txBox="1"/>
      </xdr:nvSpPr>
      <xdr:spPr>
        <a:xfrm>
          <a:off x="8438972" y="3538588"/>
          <a:ext cx="1565051" cy="259641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960"/>
            </a:lnSpc>
          </a:pPr>
          <a:r>
            <a: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Operators</a:t>
          </a:r>
        </a:p>
      </xdr:txBody>
    </xdr:sp>
    <xdr:clientData/>
  </xdr:twoCellAnchor>
  <xdr:twoCellAnchor>
    <xdr:from>
      <xdr:col>9</xdr:col>
      <xdr:colOff>541351</xdr:colOff>
      <xdr:row>28</xdr:row>
      <xdr:rowOff>78811</xdr:rowOff>
    </xdr:from>
    <xdr:to>
      <xdr:col>10</xdr:col>
      <xdr:colOff>477575</xdr:colOff>
      <xdr:row>29</xdr:row>
      <xdr:rowOff>106319</xdr:rowOff>
    </xdr:to>
    <xdr:sp macro="" textlink="">
      <xdr:nvSpPr>
        <xdr:cNvPr id="117" name="TextBox 110">
          <a:extLst>
            <a:ext uri="{FF2B5EF4-FFF2-40B4-BE49-F238E27FC236}">
              <a16:creationId xmlns:a16="http://schemas.microsoft.com/office/drawing/2014/main" id="{F7AA39A4-4D56-45A4-949F-54B94EC96420}"/>
            </a:ext>
          </a:extLst>
        </xdr:cNvPr>
        <xdr:cNvSpPr txBox="1"/>
      </xdr:nvSpPr>
      <xdr:spPr>
        <a:xfrm>
          <a:off x="6027751" y="5412811"/>
          <a:ext cx="545824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9</xdr:col>
      <xdr:colOff>522032</xdr:colOff>
      <xdr:row>32</xdr:row>
      <xdr:rowOff>14725</xdr:rowOff>
    </xdr:from>
    <xdr:to>
      <xdr:col>10</xdr:col>
      <xdr:colOff>506865</xdr:colOff>
      <xdr:row>33</xdr:row>
      <xdr:rowOff>42233</xdr:rowOff>
    </xdr:to>
    <xdr:sp macro="" textlink="">
      <xdr:nvSpPr>
        <xdr:cNvPr id="119" name="TextBox 110">
          <a:extLst>
            <a:ext uri="{FF2B5EF4-FFF2-40B4-BE49-F238E27FC236}">
              <a16:creationId xmlns:a16="http://schemas.microsoft.com/office/drawing/2014/main" id="{59DA1BE4-038A-9F0D-ABB9-2DF267F9C664}"/>
            </a:ext>
          </a:extLst>
        </xdr:cNvPr>
        <xdr:cNvSpPr txBox="1"/>
      </xdr:nvSpPr>
      <xdr:spPr>
        <a:xfrm>
          <a:off x="6008432" y="6110725"/>
          <a:ext cx="594433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4</xdr:col>
      <xdr:colOff>588063</xdr:colOff>
      <xdr:row>3</xdr:row>
      <xdr:rowOff>99739</xdr:rowOff>
    </xdr:from>
    <xdr:to>
      <xdr:col>10</xdr:col>
      <xdr:colOff>278948</xdr:colOff>
      <xdr:row>13</xdr:row>
      <xdr:rowOff>134551</xdr:rowOff>
    </xdr:to>
    <xdr:grpSp>
      <xdr:nvGrpSpPr>
        <xdr:cNvPr id="265" name="Group 264">
          <a:extLst>
            <a:ext uri="{FF2B5EF4-FFF2-40B4-BE49-F238E27FC236}">
              <a16:creationId xmlns:a16="http://schemas.microsoft.com/office/drawing/2014/main" id="{3904F437-1B27-32DB-8269-CDB3935A356E}"/>
            </a:ext>
          </a:extLst>
        </xdr:cNvPr>
        <xdr:cNvGrpSpPr/>
      </xdr:nvGrpSpPr>
      <xdr:grpSpPr>
        <a:xfrm>
          <a:off x="3037349" y="671239"/>
          <a:ext cx="3364813" cy="1939812"/>
          <a:chOff x="2379177" y="614089"/>
          <a:chExt cx="3368417" cy="1939812"/>
        </a:xfrm>
      </xdr:grpSpPr>
      <xdr:grpSp>
        <xdr:nvGrpSpPr>
          <xdr:cNvPr id="150" name="Group 149">
            <a:extLst>
              <a:ext uri="{FF2B5EF4-FFF2-40B4-BE49-F238E27FC236}">
                <a16:creationId xmlns:a16="http://schemas.microsoft.com/office/drawing/2014/main" id="{888F5EAE-1E2F-0361-77FE-9953029F570F}"/>
              </a:ext>
            </a:extLst>
          </xdr:cNvPr>
          <xdr:cNvGrpSpPr/>
        </xdr:nvGrpSpPr>
        <xdr:grpSpPr>
          <a:xfrm>
            <a:off x="2379177" y="614089"/>
            <a:ext cx="3368417" cy="1939812"/>
            <a:chOff x="2855014" y="470013"/>
            <a:chExt cx="3348238" cy="1939812"/>
          </a:xfrm>
        </xdr:grpSpPr>
        <xdr:grpSp>
          <xdr:nvGrpSpPr>
            <xdr:cNvPr id="149" name="Group 148">
              <a:extLst>
                <a:ext uri="{FF2B5EF4-FFF2-40B4-BE49-F238E27FC236}">
                  <a16:creationId xmlns:a16="http://schemas.microsoft.com/office/drawing/2014/main" id="{4989DD18-A13D-3019-EA6E-B63C63B1F2EC}"/>
                </a:ext>
              </a:extLst>
            </xdr:cNvPr>
            <xdr:cNvGrpSpPr/>
          </xdr:nvGrpSpPr>
          <xdr:grpSpPr>
            <a:xfrm>
              <a:off x="2855014" y="470013"/>
              <a:ext cx="3348238" cy="1939812"/>
              <a:chOff x="2855014" y="470013"/>
              <a:chExt cx="3348238" cy="1939812"/>
            </a:xfrm>
          </xdr:grpSpPr>
          <xdr:grpSp>
            <xdr:nvGrpSpPr>
              <xdr:cNvPr id="24" name="Group 23">
                <a:extLst>
                  <a:ext uri="{FF2B5EF4-FFF2-40B4-BE49-F238E27FC236}">
                    <a16:creationId xmlns:a16="http://schemas.microsoft.com/office/drawing/2014/main" id="{3256F5CE-7E54-BC02-3458-486A9FB93021}"/>
                  </a:ext>
                </a:extLst>
              </xdr:cNvPr>
              <xdr:cNvGrpSpPr/>
            </xdr:nvGrpSpPr>
            <xdr:grpSpPr>
              <a:xfrm>
                <a:off x="2855014" y="470013"/>
                <a:ext cx="3348238" cy="1939812"/>
                <a:chOff x="0" y="-28575"/>
                <a:chExt cx="729839" cy="401980"/>
              </a:xfrm>
            </xdr:grpSpPr>
            <xdr:sp macro="" textlink="">
              <xdr:nvSpPr>
                <xdr:cNvPr id="25" name="Freeform 8">
                  <a:extLst>
                    <a:ext uri="{FF2B5EF4-FFF2-40B4-BE49-F238E27FC236}">
                      <a16:creationId xmlns:a16="http://schemas.microsoft.com/office/drawing/2014/main" id="{C8F53B1E-AB7B-C5CB-E071-387AF95EB1E2}"/>
                    </a:ext>
                  </a:extLst>
                </xdr:cNvPr>
                <xdr:cNvSpPr/>
              </xdr:nvSpPr>
              <xdr:spPr>
                <a:xfrm>
                  <a:off x="0" y="0"/>
                  <a:ext cx="729839" cy="37340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718918" h="373405">
                      <a:moveTo>
                        <a:pt x="76578" y="0"/>
                      </a:moveTo>
                      <a:lnTo>
                        <a:pt x="642340" y="0"/>
                      </a:lnTo>
                      <a:cubicBezTo>
                        <a:pt x="662650" y="0"/>
                        <a:pt x="682128" y="8068"/>
                        <a:pt x="696489" y="22429"/>
                      </a:cubicBezTo>
                      <a:cubicBezTo>
                        <a:pt x="710850" y="36791"/>
                        <a:pt x="718918" y="56269"/>
                        <a:pt x="718918" y="76578"/>
                      </a:cubicBezTo>
                      <a:lnTo>
                        <a:pt x="718918" y="296826"/>
                      </a:lnTo>
                      <a:cubicBezTo>
                        <a:pt x="718918" y="317136"/>
                        <a:pt x="710850" y="336614"/>
                        <a:pt x="696489" y="350975"/>
                      </a:cubicBezTo>
                      <a:cubicBezTo>
                        <a:pt x="682128" y="365337"/>
                        <a:pt x="662650" y="373405"/>
                        <a:pt x="642340" y="373405"/>
                      </a:cubicBezTo>
                      <a:lnTo>
                        <a:pt x="76578" y="373405"/>
                      </a:lnTo>
                      <a:cubicBezTo>
                        <a:pt x="56269" y="373405"/>
                        <a:pt x="36791" y="365337"/>
                        <a:pt x="22429" y="350975"/>
                      </a:cubicBezTo>
                      <a:cubicBezTo>
                        <a:pt x="8068" y="336614"/>
                        <a:pt x="0" y="317136"/>
                        <a:pt x="0" y="296826"/>
                      </a:cubicBezTo>
                      <a:lnTo>
                        <a:pt x="0" y="76578"/>
                      </a:lnTo>
                      <a:cubicBezTo>
                        <a:pt x="0" y="56269"/>
                        <a:pt x="8068" y="36791"/>
                        <a:pt x="22429" y="22429"/>
                      </a:cubicBezTo>
                      <a:cubicBezTo>
                        <a:pt x="36791" y="8068"/>
                        <a:pt x="56269" y="0"/>
                        <a:pt x="76578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26" name="TextBox 9">
                  <a:extLst>
                    <a:ext uri="{FF2B5EF4-FFF2-40B4-BE49-F238E27FC236}">
                      <a16:creationId xmlns:a16="http://schemas.microsoft.com/office/drawing/2014/main" id="{7A682344-C3F7-ED63-5F6E-6427598A69A9}"/>
                    </a:ext>
                  </a:extLst>
                </xdr:cNvPr>
                <xdr:cNvSpPr txBox="1"/>
              </xdr:nvSpPr>
              <xdr:spPr>
                <a:xfrm>
                  <a:off x="0" y="-28575"/>
                  <a:ext cx="718918" cy="401980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  <a:spcBef>
                      <a:spcPct val="0"/>
                    </a:spcBef>
                  </a:pPr>
                  <a:endParaRPr/>
                </a:p>
              </xdr:txBody>
            </xdr:sp>
          </xdr:grpSp>
          <xdr:sp macro="" textlink="">
            <xdr:nvSpPr>
              <xdr:cNvPr id="122" name="TextBox 88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C8BC0EA8-1B98-BF4E-932B-927C373434B9}"/>
                  </a:ext>
                </a:extLst>
              </xdr:cNvPr>
              <xdr:cNvSpPr txBox="1"/>
            </xdr:nvSpPr>
            <xdr:spPr>
              <a:xfrm>
                <a:off x="3216343" y="1032428"/>
                <a:ext cx="2429241" cy="526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3919"/>
                  </a:lnSpc>
                </a:pPr>
                <a:r>
                  <a:rPr lang="en-US" sz="4400" b="1">
                    <a:solidFill>
                      <a:srgbClr val="FFFFFF"/>
                    </a:solidFill>
                    <a:latin typeface="Sukar Heavy"/>
                    <a:ea typeface="Sukar Heavy"/>
                    <a:cs typeface="Sukar Heavy"/>
                    <a:sym typeface="Sukar Heavy"/>
                  </a:rPr>
                  <a:t>$ 384.86</a:t>
                </a:r>
              </a:p>
            </xdr:txBody>
          </xdr:sp>
          <xdr:grpSp>
            <xdr:nvGrpSpPr>
              <xdr:cNvPr id="125" name="Group 124">
                <a:extLst>
                  <a:ext uri="{FF2B5EF4-FFF2-40B4-BE49-F238E27FC236}">
                    <a16:creationId xmlns:a16="http://schemas.microsoft.com/office/drawing/2014/main" id="{494B8937-9C7B-6A3C-3BFB-748F86A29D76}"/>
                  </a:ext>
                </a:extLst>
              </xdr:cNvPr>
              <xdr:cNvGrpSpPr/>
            </xdr:nvGrpSpPr>
            <xdr:grpSpPr>
              <a:xfrm>
                <a:off x="3313869" y="1698497"/>
                <a:ext cx="2160422" cy="295597"/>
                <a:chOff x="3474139" y="1608398"/>
                <a:chExt cx="1112689" cy="158232"/>
              </a:xfrm>
            </xdr:grpSpPr>
            <xdr:sp macro="" textlink="">
              <xdr:nvSpPr>
                <xdr:cNvPr id="123" name="Freeform 69">
                  <a:extLst>
                    <a:ext uri="{FF2B5EF4-FFF2-40B4-BE49-F238E27FC236}">
                      <a16:creationId xmlns:a16="http://schemas.microsoft.com/office/drawing/2014/main" id="{E0A63EC3-65F7-E606-3849-E72928326E44}"/>
                    </a:ext>
                  </a:extLst>
                </xdr:cNvPr>
                <xdr:cNvSpPr/>
              </xdr:nvSpPr>
              <xdr:spPr>
                <a:xfrm>
                  <a:off x="3474139" y="1608398"/>
                  <a:ext cx="131111" cy="131111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1111" h="131111">
                      <a:moveTo>
                        <a:pt x="0" y="0"/>
                      </a:moveTo>
                      <a:lnTo>
                        <a:pt x="131111" y="0"/>
                      </a:lnTo>
                      <a:lnTo>
                        <a:pt x="131111" y="131112"/>
                      </a:lnTo>
                      <a:lnTo>
                        <a:pt x="0" y="13111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blipFill>
                  <a:blip xmlns:r="http://schemas.openxmlformats.org/officeDocument/2006/relationships" r:embed="rId7">
                    <a:extLst>
                      <a:ext uri="{96DAC541-7B7A-43D3-8B79-37D633B846F1}">
                        <asvg:svgBlip xmlns:asvg="http://schemas.microsoft.com/office/drawing/2016/SVG/main" r:embed="rId8"/>
                      </a:ext>
                    </a:extLst>
                  </a:blip>
                  <a:stretch>
                    <a:fillRect/>
                  </a:stretch>
                </a:blip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124" name="TextBox 89">
                  <a:extLst>
                    <a:ext uri="{FF2B5EF4-FFF2-40B4-BE49-F238E27FC236}">
                      <a16:creationId xmlns:a16="http://schemas.microsoft.com/office/drawing/2014/main" id="{F3D1D0D7-E4DA-74E3-C2CA-7C8970CEE04C}"/>
                    </a:ext>
                  </a:extLst>
                </xdr:cNvPr>
                <xdr:cNvSpPr txBox="1"/>
              </xdr:nvSpPr>
              <xdr:spPr>
                <a:xfrm>
                  <a:off x="3720764" y="1631053"/>
                  <a:ext cx="866064" cy="135577"/>
                </a:xfrm>
                <a:prstGeom prst="rect">
                  <a:avLst/>
                </a:prstGeom>
              </xdr:spPr>
              <xdr:txBody>
                <a:bodyPr wrap="square" lIns="0" tIns="0" rIns="0" bIns="0" rtlCol="0" anchor="ctr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>
                    <a:lnSpc>
                      <a:spcPts val="1679"/>
                    </a:lnSpc>
                  </a:pPr>
                  <a:r>
                    <a:rPr lang="en-US" sz="2000">
                      <a:solidFill>
                        <a:srgbClr val="FFFFFF"/>
                      </a:solidFill>
                      <a:latin typeface="Poppins"/>
                      <a:ea typeface="Poppins"/>
                      <a:cs typeface="Poppins"/>
                      <a:sym typeface="Poppins"/>
                    </a:rPr>
                    <a:t>Total Paid</a:t>
                  </a:r>
                </a:p>
              </xdr:txBody>
            </xdr:sp>
          </xdr:grpSp>
        </xdr:grpSp>
        <xdr:sp macro="" textlink="">
          <xdr:nvSpPr>
            <xdr:cNvPr id="127" name="TextBox 105">
              <a:extLst>
                <a:ext uri="{FF2B5EF4-FFF2-40B4-BE49-F238E27FC236}">
                  <a16:creationId xmlns:a16="http://schemas.microsoft.com/office/drawing/2014/main" id="{7FF966FC-4007-48AD-8117-7C72286109A6}"/>
                </a:ext>
              </a:extLst>
            </xdr:cNvPr>
            <xdr:cNvSpPr txBox="1"/>
          </xdr:nvSpPr>
          <xdr:spPr>
            <a:xfrm>
              <a:off x="5353940" y="1558518"/>
              <a:ext cx="579401" cy="214597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679"/>
                </a:lnSpc>
              </a:pPr>
              <a:r>
                <a:rPr lang="en-US" sz="1400" b="1">
                  <a:solidFill>
                    <a:schemeClr val="bg1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0.41%</a:t>
              </a:r>
            </a:p>
          </xdr:txBody>
        </xdr:sp>
      </xdr:grpSp>
      <xdr:sp macro="" textlink="">
        <xdr:nvSpPr>
          <xdr:cNvPr id="2" name="Freeform 35">
            <a:extLst>
              <a:ext uri="{FF2B5EF4-FFF2-40B4-BE49-F238E27FC236}">
                <a16:creationId xmlns:a16="http://schemas.microsoft.com/office/drawing/2014/main" id="{D7D0CABA-B8C5-4DB5-92C4-C2D6F7C86901}"/>
              </a:ext>
            </a:extLst>
          </xdr:cNvPr>
          <xdr:cNvSpPr/>
        </xdr:nvSpPr>
        <xdr:spPr>
          <a:xfrm>
            <a:off x="4961466" y="1296005"/>
            <a:ext cx="379387" cy="213430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12</xdr:col>
      <xdr:colOff>554230</xdr:colOff>
      <xdr:row>4</xdr:row>
      <xdr:rowOff>67793</xdr:rowOff>
    </xdr:from>
    <xdr:to>
      <xdr:col>18</xdr:col>
      <xdr:colOff>416544</xdr:colOff>
      <xdr:row>13</xdr:row>
      <xdr:rowOff>150619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620B1470-3DEF-CDC7-191D-1EF47EA3F3BB}"/>
            </a:ext>
          </a:extLst>
        </xdr:cNvPr>
        <xdr:cNvGrpSpPr/>
      </xdr:nvGrpSpPr>
      <xdr:grpSpPr>
        <a:xfrm>
          <a:off x="7902087" y="829793"/>
          <a:ext cx="3536243" cy="1797326"/>
          <a:chOff x="7329810" y="683557"/>
          <a:chExt cx="3532589" cy="1797326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99D8F4AB-DC5A-7C31-94F2-E90878454A2E}"/>
              </a:ext>
            </a:extLst>
          </xdr:cNvPr>
          <xdr:cNvGrpSpPr/>
        </xdr:nvGrpSpPr>
        <xdr:grpSpPr>
          <a:xfrm>
            <a:off x="7329810" y="683557"/>
            <a:ext cx="3532589" cy="1797326"/>
            <a:chOff x="7307819" y="683557"/>
            <a:chExt cx="3520592" cy="1797326"/>
          </a:xfrm>
        </xdr:grpSpPr>
        <xdr:grpSp>
          <xdr:nvGrpSpPr>
            <xdr:cNvPr id="158" name="Group 157">
              <a:extLst>
                <a:ext uri="{FF2B5EF4-FFF2-40B4-BE49-F238E27FC236}">
                  <a16:creationId xmlns:a16="http://schemas.microsoft.com/office/drawing/2014/main" id="{5F39D708-1C62-6E7D-C0D4-D2BA0BC3ACF5}"/>
                </a:ext>
              </a:extLst>
            </xdr:cNvPr>
            <xdr:cNvGrpSpPr/>
          </xdr:nvGrpSpPr>
          <xdr:grpSpPr>
            <a:xfrm>
              <a:off x="7307819" y="683557"/>
              <a:ext cx="3520592" cy="1797326"/>
              <a:chOff x="7176826" y="896470"/>
              <a:chExt cx="3485816" cy="1797326"/>
            </a:xfrm>
          </xdr:grpSpPr>
          <xdr:grpSp>
            <xdr:nvGrpSpPr>
              <xdr:cNvPr id="33" name="Group 32">
                <a:extLst>
                  <a:ext uri="{FF2B5EF4-FFF2-40B4-BE49-F238E27FC236}">
                    <a16:creationId xmlns:a16="http://schemas.microsoft.com/office/drawing/2014/main" id="{BC2D4EDD-82D3-6FF6-95E2-9A2E453827FB}"/>
                  </a:ext>
                </a:extLst>
              </xdr:cNvPr>
              <xdr:cNvGrpSpPr/>
            </xdr:nvGrpSpPr>
            <xdr:grpSpPr>
              <a:xfrm>
                <a:off x="7176826" y="896470"/>
                <a:ext cx="3485816" cy="1797326"/>
                <a:chOff x="0" y="-47625"/>
                <a:chExt cx="1345269" cy="904537"/>
              </a:xfrm>
            </xdr:grpSpPr>
            <xdr:sp macro="" textlink="">
              <xdr:nvSpPr>
                <xdr:cNvPr id="34" name="Freeform 67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496E3B24-FD78-57B5-5679-B561F5C3291E}"/>
                    </a:ext>
                  </a:extLst>
                </xdr:cNvPr>
                <xdr:cNvSpPr/>
              </xdr:nvSpPr>
              <xdr:spPr>
                <a:xfrm>
                  <a:off x="0" y="0"/>
                  <a:ext cx="1345269" cy="856912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45269" h="856912">
                      <a:moveTo>
                        <a:pt x="34785" y="0"/>
                      </a:moveTo>
                      <a:lnTo>
                        <a:pt x="1310483" y="0"/>
                      </a:lnTo>
                      <a:cubicBezTo>
                        <a:pt x="1319709" y="0"/>
                        <a:pt x="1328557" y="3665"/>
                        <a:pt x="1335080" y="10188"/>
                      </a:cubicBezTo>
                      <a:cubicBezTo>
                        <a:pt x="1341604" y="16712"/>
                        <a:pt x="1345269" y="25560"/>
                        <a:pt x="1345269" y="34785"/>
                      </a:cubicBezTo>
                      <a:lnTo>
                        <a:pt x="1345269" y="822127"/>
                      </a:lnTo>
                      <a:cubicBezTo>
                        <a:pt x="1345269" y="831352"/>
                        <a:pt x="1341604" y="840200"/>
                        <a:pt x="1335080" y="846724"/>
                      </a:cubicBezTo>
                      <a:cubicBezTo>
                        <a:pt x="1328557" y="853247"/>
                        <a:pt x="1319709" y="856912"/>
                        <a:pt x="1310483" y="856912"/>
                      </a:cubicBezTo>
                      <a:lnTo>
                        <a:pt x="34785" y="856912"/>
                      </a:lnTo>
                      <a:cubicBezTo>
                        <a:pt x="25560" y="856912"/>
                        <a:pt x="16712" y="853247"/>
                        <a:pt x="10188" y="846724"/>
                      </a:cubicBezTo>
                      <a:cubicBezTo>
                        <a:pt x="3665" y="840200"/>
                        <a:pt x="0" y="831352"/>
                        <a:pt x="0" y="822127"/>
                      </a:cubicBezTo>
                      <a:lnTo>
                        <a:pt x="0" y="34785"/>
                      </a:lnTo>
                      <a:cubicBezTo>
                        <a:pt x="0" y="25560"/>
                        <a:pt x="3665" y="16712"/>
                        <a:pt x="10188" y="10188"/>
                      </a:cubicBezTo>
                      <a:cubicBezTo>
                        <a:pt x="16712" y="3665"/>
                        <a:pt x="25560" y="0"/>
                        <a:pt x="34785" y="0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cap="sq">
                  <a:noFill/>
                  <a:prstDash val="solid"/>
                  <a:miter/>
                </a:ln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35" name="TextBox 68">
                  <a:extLst>
                    <a:ext uri="{FF2B5EF4-FFF2-40B4-BE49-F238E27FC236}">
                      <a16:creationId xmlns:a16="http://schemas.microsoft.com/office/drawing/2014/main" id="{CF565C2B-92EB-2C53-F120-39BD70A11530}"/>
                    </a:ext>
                  </a:extLst>
                </xdr:cNvPr>
                <xdr:cNvSpPr txBox="1"/>
              </xdr:nvSpPr>
              <xdr:spPr>
                <a:xfrm>
                  <a:off x="0" y="-47625"/>
                  <a:ext cx="1345268" cy="904537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140" name="TextBox 151">
                <a:extLst>
                  <a:ext uri="{FF2B5EF4-FFF2-40B4-BE49-F238E27FC236}">
                    <a16:creationId xmlns:a16="http://schemas.microsoft.com/office/drawing/2014/main" id="{21118F76-897E-BE09-B347-C9B1457B53DF}"/>
                  </a:ext>
                </a:extLst>
              </xdr:cNvPr>
              <xdr:cNvSpPr txBox="1"/>
            </xdr:nvSpPr>
            <xdr:spPr>
              <a:xfrm>
                <a:off x="8080343" y="1175634"/>
                <a:ext cx="1535585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Latest</a:t>
                </a:r>
                <a:r>
                  <a:rPr lang="en-US" sz="1599" b="1" baseline="0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 Payment</a:t>
                </a:r>
                <a:endPara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endParaRPr>
              </a:p>
            </xdr:txBody>
          </xdr:sp>
          <xdr:sp macro="" textlink="">
            <xdr:nvSpPr>
              <xdr:cNvPr id="141" name="TextBox 153">
                <a:extLst>
                  <a:ext uri="{FF2B5EF4-FFF2-40B4-BE49-F238E27FC236}">
                    <a16:creationId xmlns:a16="http://schemas.microsoft.com/office/drawing/2014/main" id="{EA86859F-AE76-8F67-74A6-76FE02C7A128}"/>
                  </a:ext>
                </a:extLst>
              </xdr:cNvPr>
              <xdr:cNvSpPr txBox="1"/>
            </xdr:nvSpPr>
            <xdr:spPr>
              <a:xfrm>
                <a:off x="8080343" y="1580156"/>
                <a:ext cx="1068811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$ 92,962.37 </a:t>
                </a:r>
              </a:p>
            </xdr:txBody>
          </xdr:sp>
          <xdr:sp macro="" textlink="">
            <xdr:nvSpPr>
              <xdr:cNvPr id="142" name="TextBox 154">
                <a:extLst>
                  <a:ext uri="{FF2B5EF4-FFF2-40B4-BE49-F238E27FC236}">
                    <a16:creationId xmlns:a16="http://schemas.microsoft.com/office/drawing/2014/main" id="{EF43EB98-5B6E-4C4E-D877-F019C6CE662C}"/>
                  </a:ext>
                </a:extLst>
              </xdr:cNvPr>
              <xdr:cNvSpPr txBox="1"/>
            </xdr:nvSpPr>
            <xdr:spPr>
              <a:xfrm>
                <a:off x="8069135" y="1898666"/>
                <a:ext cx="1762009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Previous Payment</a:t>
                </a:r>
              </a:p>
            </xdr:txBody>
          </xdr:sp>
          <xdr:sp macro="" textlink="">
            <xdr:nvSpPr>
              <xdr:cNvPr id="143" name="TextBox 156">
                <a:extLst>
                  <a:ext uri="{FF2B5EF4-FFF2-40B4-BE49-F238E27FC236}">
                    <a16:creationId xmlns:a16="http://schemas.microsoft.com/office/drawing/2014/main" id="{E00832D3-FF8A-A8EB-C3B7-35B6333C95E9}"/>
                  </a:ext>
                </a:extLst>
              </xdr:cNvPr>
              <xdr:cNvSpPr txBox="1"/>
            </xdr:nvSpPr>
            <xdr:spPr>
              <a:xfrm>
                <a:off x="8069135" y="2301277"/>
                <a:ext cx="1104535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 b="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</a:t>
                </a: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93,346.83 </a:t>
                </a:r>
              </a:p>
            </xdr:txBody>
          </xdr:sp>
          <xdr:grpSp>
            <xdr:nvGrpSpPr>
              <xdr:cNvPr id="157" name="Group 156">
                <a:extLst>
                  <a:ext uri="{FF2B5EF4-FFF2-40B4-BE49-F238E27FC236}">
                    <a16:creationId xmlns:a16="http://schemas.microsoft.com/office/drawing/2014/main" id="{A0F1A483-F53E-7431-B334-C8B08DBDA7A5}"/>
                  </a:ext>
                </a:extLst>
              </xdr:cNvPr>
              <xdr:cNvGrpSpPr/>
            </xdr:nvGrpSpPr>
            <xdr:grpSpPr>
              <a:xfrm>
                <a:off x="7450746" y="1138670"/>
                <a:ext cx="638938" cy="1257540"/>
                <a:chOff x="7483834" y="1138670"/>
                <a:chExt cx="643128" cy="1257540"/>
              </a:xfrm>
            </xdr:grpSpPr>
            <xdr:grpSp>
              <xdr:nvGrpSpPr>
                <xdr:cNvPr id="151" name="Group 150">
                  <a:extLst>
                    <a:ext uri="{FF2B5EF4-FFF2-40B4-BE49-F238E27FC236}">
                      <a16:creationId xmlns:a16="http://schemas.microsoft.com/office/drawing/2014/main" id="{CBD80DAE-D4E8-8D70-90AA-03AB0FC9EFD4}"/>
                    </a:ext>
                  </a:extLst>
                </xdr:cNvPr>
                <xdr:cNvGrpSpPr/>
              </xdr:nvGrpSpPr>
              <xdr:grpSpPr>
                <a:xfrm>
                  <a:off x="7483834" y="1138670"/>
                  <a:ext cx="640697" cy="557582"/>
                  <a:chOff x="7483834" y="1138670"/>
                  <a:chExt cx="640697" cy="557582"/>
                </a:xfrm>
              </xdr:grpSpPr>
              <xdr:grpSp>
                <xdr:nvGrpSpPr>
                  <xdr:cNvPr id="136" name="Group 135">
                    <a:extLst>
                      <a:ext uri="{FF2B5EF4-FFF2-40B4-BE49-F238E27FC236}">
                        <a16:creationId xmlns:a16="http://schemas.microsoft.com/office/drawing/2014/main" id="{72D76792-CAC8-B70C-35CC-1C0DC995EFAB}"/>
                      </a:ext>
                    </a:extLst>
                  </xdr:cNvPr>
                  <xdr:cNvGrpSpPr/>
                </xdr:nvGrpSpPr>
                <xdr:grpSpPr>
                  <a:xfrm>
                    <a:off x="7483834" y="1138670"/>
                    <a:ext cx="640697" cy="557582"/>
                    <a:chOff x="-79808" y="-47625"/>
                    <a:chExt cx="251512" cy="222411"/>
                  </a:xfrm>
                </xdr:grpSpPr>
                <xdr:sp macro="" textlink="">
                  <xdr:nvSpPr>
                    <xdr:cNvPr id="146" name="Freeform 71">
                      <a:extLst>
                        <a:ext uri="{FF2B5EF4-FFF2-40B4-BE49-F238E27FC236}">
                          <a16:creationId xmlns:a16="http://schemas.microsoft.com/office/drawing/2014/main" id="{4DBBB121-406E-2FDA-FAF4-3BB0F9656E6A}"/>
                        </a:ext>
                      </a:extLst>
                    </xdr:cNvPr>
                    <xdr:cNvSpPr/>
                  </xdr:nvSpPr>
                  <xdr:spPr>
                    <a:xfrm>
                      <a:off x="-79808" y="3082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147" name="TextBox 72">
                      <a:extLst>
                        <a:ext uri="{FF2B5EF4-FFF2-40B4-BE49-F238E27FC236}">
                          <a16:creationId xmlns:a16="http://schemas.microsoft.com/office/drawing/2014/main" id="{78FE401B-9BFB-D7DE-D7F0-EC2CB991ED1E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138" name="Freeform 109">
                    <a:extLst>
                      <a:ext uri="{FF2B5EF4-FFF2-40B4-BE49-F238E27FC236}">
                        <a16:creationId xmlns:a16="http://schemas.microsoft.com/office/drawing/2014/main" id="{76D556B6-B067-9473-0CA5-C97406A35424}"/>
                      </a:ext>
                    </a:extLst>
                  </xdr:cNvPr>
                  <xdr:cNvSpPr/>
                </xdr:nvSpPr>
                <xdr:spPr>
                  <a:xfrm>
                    <a:off x="7594834" y="1354645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2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  <xdr:grpSp>
              <xdr:nvGrpSpPr>
                <xdr:cNvPr id="152" name="Group 151">
                  <a:extLst>
                    <a:ext uri="{FF2B5EF4-FFF2-40B4-BE49-F238E27FC236}">
                      <a16:creationId xmlns:a16="http://schemas.microsoft.com/office/drawing/2014/main" id="{3BFB819F-B000-4F59-BE5B-F130484E849F}"/>
                    </a:ext>
                  </a:extLst>
                </xdr:cNvPr>
                <xdr:cNvGrpSpPr/>
              </xdr:nvGrpSpPr>
              <xdr:grpSpPr>
                <a:xfrm>
                  <a:off x="7486255" y="1846356"/>
                  <a:ext cx="640707" cy="549854"/>
                  <a:chOff x="7483824" y="1138670"/>
                  <a:chExt cx="640707" cy="549854"/>
                </a:xfrm>
              </xdr:grpSpPr>
              <xdr:grpSp>
                <xdr:nvGrpSpPr>
                  <xdr:cNvPr id="153" name="Group 152">
                    <a:extLst>
                      <a:ext uri="{FF2B5EF4-FFF2-40B4-BE49-F238E27FC236}">
                        <a16:creationId xmlns:a16="http://schemas.microsoft.com/office/drawing/2014/main" id="{6735B01D-54D1-F2D4-0F03-1D01BD1213AD}"/>
                      </a:ext>
                    </a:extLst>
                  </xdr:cNvPr>
                  <xdr:cNvGrpSpPr/>
                </xdr:nvGrpSpPr>
                <xdr:grpSpPr>
                  <a:xfrm>
                    <a:off x="7483824" y="1138670"/>
                    <a:ext cx="640707" cy="549854"/>
                    <a:chOff x="-79812" y="-47625"/>
                    <a:chExt cx="251516" cy="219329"/>
                  </a:xfrm>
                </xdr:grpSpPr>
                <xdr:sp macro="" textlink="">
                  <xdr:nvSpPr>
                    <xdr:cNvPr id="155" name="Freeform 71">
                      <a:extLst>
                        <a:ext uri="{FF2B5EF4-FFF2-40B4-BE49-F238E27FC236}">
                          <a16:creationId xmlns:a16="http://schemas.microsoft.com/office/drawing/2014/main" id="{99FF86C4-03BC-26B9-AA35-3312631C9017}"/>
                        </a:ext>
                      </a:extLst>
                    </xdr:cNvPr>
                    <xdr:cNvSpPr/>
                  </xdr:nvSpPr>
                  <xdr:spPr>
                    <a:xfrm>
                      <a:off x="-79812" y="0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156" name="TextBox 72">
                      <a:extLst>
                        <a:ext uri="{FF2B5EF4-FFF2-40B4-BE49-F238E27FC236}">
                          <a16:creationId xmlns:a16="http://schemas.microsoft.com/office/drawing/2014/main" id="{F1BBE124-B87E-7881-32DC-62D67CBD6779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154" name="Freeform 109">
                    <a:extLst>
                      <a:ext uri="{FF2B5EF4-FFF2-40B4-BE49-F238E27FC236}">
                        <a16:creationId xmlns:a16="http://schemas.microsoft.com/office/drawing/2014/main" id="{4425CC49-0DA3-61F5-0DD4-7EA62487FBD0}"/>
                      </a:ext>
                    </a:extLst>
                  </xdr:cNvPr>
                  <xdr:cNvSpPr/>
                </xdr:nvSpPr>
                <xdr:spPr>
                  <a:xfrm>
                    <a:off x="7594824" y="1346918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2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</xdr:grpSp>
        </xdr:grpSp>
        <xdr:sp macro="" textlink="">
          <xdr:nvSpPr>
            <xdr:cNvPr id="3" name="TextBox 156">
              <a:extLst>
                <a:ext uri="{FF2B5EF4-FFF2-40B4-BE49-F238E27FC236}">
                  <a16:creationId xmlns:a16="http://schemas.microsoft.com/office/drawing/2014/main" id="{AED6DA6A-62D7-4A21-A133-4AEB017283FA}"/>
                </a:ext>
              </a:extLst>
            </xdr:cNvPr>
            <xdr:cNvSpPr txBox="1"/>
          </xdr:nvSpPr>
          <xdr:spPr>
            <a:xfrm>
              <a:off x="8217985" y="1174046"/>
              <a:ext cx="2038105" cy="2076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050" b="0">
                  <a:solidFill>
                    <a:schemeClr val="bg2">
                      <a:lumMod val="50000"/>
                    </a:schemeClr>
                  </a:solidFill>
                  <a:latin typeface="Poppins"/>
                  <a:ea typeface="Poppins"/>
                  <a:cs typeface="Poppins"/>
                  <a:sym typeface="Poppins"/>
                </a:rPr>
                <a:t>VDP_DIV5_1021_1103_FINAL</a:t>
              </a:r>
              <a:endParaRPr lang="en-US" sz="105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endParaRPr>
            </a:p>
          </xdr:txBody>
        </xdr:sp>
      </xdr:grpSp>
      <xdr:sp macro="" textlink="">
        <xdr:nvSpPr>
          <xdr:cNvPr id="5" name="TextBox 156">
            <a:extLst>
              <a:ext uri="{FF2B5EF4-FFF2-40B4-BE49-F238E27FC236}">
                <a16:creationId xmlns:a16="http://schemas.microsoft.com/office/drawing/2014/main" id="{4968A561-0841-461B-91FE-AA4C03F974BB}"/>
              </a:ext>
            </a:extLst>
          </xdr:cNvPr>
          <xdr:cNvSpPr txBox="1"/>
        </xdr:nvSpPr>
        <xdr:spPr>
          <a:xfrm>
            <a:off x="8226396" y="1892499"/>
            <a:ext cx="2479347" cy="2076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050" b="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rPr>
              <a:t>DONE-VDP_DIV5_1007_1020_FINAL</a:t>
            </a:r>
            <a:endParaRPr lang="en-US" sz="1050">
              <a:solidFill>
                <a:schemeClr val="bg2">
                  <a:lumMod val="50000"/>
                </a:schemeClr>
              </a:solidFill>
              <a:latin typeface="Poppins"/>
              <a:ea typeface="Poppins"/>
              <a:cs typeface="Poppins"/>
              <a:sym typeface="Poppins"/>
            </a:endParaRPr>
          </a:p>
        </xdr:txBody>
      </xdr:sp>
    </xdr:grpSp>
    <xdr:clientData/>
  </xdr:twoCellAnchor>
  <xdr:twoCellAnchor>
    <xdr:from>
      <xdr:col>3</xdr:col>
      <xdr:colOff>523875</xdr:colOff>
      <xdr:row>16</xdr:row>
      <xdr:rowOff>37505</xdr:rowOff>
    </xdr:from>
    <xdr:to>
      <xdr:col>11</xdr:col>
      <xdr:colOff>276838</xdr:colOff>
      <xdr:row>38</xdr:row>
      <xdr:rowOff>122558</xdr:rowOff>
    </xdr:to>
    <xdr:grpSp>
      <xdr:nvGrpSpPr>
        <xdr:cNvPr id="223" name="Group 222">
          <a:extLst>
            <a:ext uri="{FF2B5EF4-FFF2-40B4-BE49-F238E27FC236}">
              <a16:creationId xmlns:a16="http://schemas.microsoft.com/office/drawing/2014/main" id="{3ECFEE48-9404-4468-9E05-58716FEBCD1C}"/>
            </a:ext>
          </a:extLst>
        </xdr:cNvPr>
        <xdr:cNvGrpSpPr/>
      </xdr:nvGrpSpPr>
      <xdr:grpSpPr>
        <a:xfrm>
          <a:off x="2360839" y="3085505"/>
          <a:ext cx="4651535" cy="4276053"/>
          <a:chOff x="2190750" y="2647355"/>
          <a:chExt cx="4629763" cy="4276053"/>
        </a:xfrm>
      </xdr:grpSpPr>
      <xdr:grpSp>
        <xdr:nvGrpSpPr>
          <xdr:cNvPr id="224" name="Group 223">
            <a:extLst>
              <a:ext uri="{FF2B5EF4-FFF2-40B4-BE49-F238E27FC236}">
                <a16:creationId xmlns:a16="http://schemas.microsoft.com/office/drawing/2014/main" id="{A5203CCC-CE55-16A3-FE3A-DC2B28E2FDA9}"/>
              </a:ext>
            </a:extLst>
          </xdr:cNvPr>
          <xdr:cNvGrpSpPr/>
        </xdr:nvGrpSpPr>
        <xdr:grpSpPr>
          <a:xfrm>
            <a:off x="2190750" y="2647355"/>
            <a:ext cx="4629763" cy="4276053"/>
            <a:chOff x="2162175" y="2771180"/>
            <a:chExt cx="4629763" cy="4276053"/>
          </a:xfrm>
        </xdr:grpSpPr>
        <xdr:grpSp>
          <xdr:nvGrpSpPr>
            <xdr:cNvPr id="226" name="Group 225">
              <a:extLst>
                <a:ext uri="{FF2B5EF4-FFF2-40B4-BE49-F238E27FC236}">
                  <a16:creationId xmlns:a16="http://schemas.microsoft.com/office/drawing/2014/main" id="{B8D09190-CF94-BEE8-449D-4CE604C152D5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262" name="Freeform 29">
                <a:extLst>
                  <a:ext uri="{FF2B5EF4-FFF2-40B4-BE49-F238E27FC236}">
                    <a16:creationId xmlns:a16="http://schemas.microsoft.com/office/drawing/2014/main" id="{5EF3CB67-EF80-F09C-4FE2-234E71CEBCF1}"/>
                  </a:ext>
                </a:extLst>
              </xdr:cNvPr>
              <xdr:cNvSpPr/>
            </xdr:nvSpPr>
            <xdr:spPr>
              <a:xfrm>
                <a:off x="0" y="0"/>
                <a:ext cx="1646138" cy="1368213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63" name="TextBox 30">
                <a:extLst>
                  <a:ext uri="{FF2B5EF4-FFF2-40B4-BE49-F238E27FC236}">
                    <a16:creationId xmlns:a16="http://schemas.microsoft.com/office/drawing/2014/main" id="{969D27CE-895E-E9AA-A837-D7CA2F2FA781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227" name="Picture 226">
              <a:extLst>
                <a:ext uri="{FF2B5EF4-FFF2-40B4-BE49-F238E27FC236}">
                  <a16:creationId xmlns:a16="http://schemas.microsoft.com/office/drawing/2014/main" id="{CA6720CF-4E9C-2A65-3E71-2F654773B6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49748" y="3737641"/>
              <a:ext cx="579378" cy="579378"/>
            </a:xfrm>
            <a:prstGeom prst="rect">
              <a:avLst/>
            </a:prstGeom>
          </xdr:spPr>
        </xdr:pic>
        <xdr:grpSp>
          <xdr:nvGrpSpPr>
            <xdr:cNvPr id="228" name="Group 227">
              <a:extLst>
                <a:ext uri="{FF2B5EF4-FFF2-40B4-BE49-F238E27FC236}">
                  <a16:creationId xmlns:a16="http://schemas.microsoft.com/office/drawing/2014/main" id="{84AAE5E6-1FBB-94C0-BB25-FC8E323B0462}"/>
                </a:ext>
              </a:extLst>
            </xdr:cNvPr>
            <xdr:cNvGrpSpPr/>
          </xdr:nvGrpSpPr>
          <xdr:grpSpPr>
            <a:xfrm>
              <a:off x="2548412" y="3836305"/>
              <a:ext cx="382051" cy="382051"/>
              <a:chOff x="0" y="0"/>
              <a:chExt cx="812800" cy="812800"/>
            </a:xfrm>
          </xdr:grpSpPr>
          <xdr:sp macro="" textlink="">
            <xdr:nvSpPr>
              <xdr:cNvPr id="260" name="Freeform 33">
                <a:extLst>
                  <a:ext uri="{FF2B5EF4-FFF2-40B4-BE49-F238E27FC236}">
                    <a16:creationId xmlns:a16="http://schemas.microsoft.com/office/drawing/2014/main" id="{5EEE83B7-038D-969C-C791-0ED3252F52C2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61" name="TextBox 34">
                <a:extLst>
                  <a:ext uri="{FF2B5EF4-FFF2-40B4-BE49-F238E27FC236}">
                    <a16:creationId xmlns:a16="http://schemas.microsoft.com/office/drawing/2014/main" id="{F0602DE1-4EAD-2E8E-854A-4F1D5E16C847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29" name="Freeform 35">
              <a:extLst>
                <a:ext uri="{FF2B5EF4-FFF2-40B4-BE49-F238E27FC236}">
                  <a16:creationId xmlns:a16="http://schemas.microsoft.com/office/drawing/2014/main" id="{895FD78F-A63F-EFFC-C28A-14D7F432C3FF}"/>
                </a:ext>
              </a:extLst>
            </xdr:cNvPr>
            <xdr:cNvSpPr/>
          </xdr:nvSpPr>
          <xdr:spPr>
            <a:xfrm>
              <a:off x="6154879" y="3848352"/>
              <a:ext cx="239576" cy="143745"/>
            </a:xfrm>
            <a:custGeom>
              <a:avLst/>
              <a:gdLst/>
              <a:ahLst/>
              <a:cxnLst/>
              <a:rect l="l" t="t" r="r" b="b"/>
              <a:pathLst>
                <a:path w="239576" h="143745">
                  <a:moveTo>
                    <a:pt x="0" y="0"/>
                  </a:moveTo>
                  <a:lnTo>
                    <a:pt x="239576" y="0"/>
                  </a:lnTo>
                  <a:lnTo>
                    <a:pt x="239576" y="143746"/>
                  </a:lnTo>
                  <a:lnTo>
                    <a:pt x="0" y="14374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9">
                <a:extLs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230" name="Picture 229">
              <a:extLst>
                <a:ext uri="{FF2B5EF4-FFF2-40B4-BE49-F238E27FC236}">
                  <a16:creationId xmlns:a16="http://schemas.microsoft.com/office/drawing/2014/main" id="{BCC49CBF-E953-1588-F22C-ED25990E7BE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447839" y="4450156"/>
              <a:ext cx="580384" cy="580384"/>
            </a:xfrm>
            <a:prstGeom prst="rect">
              <a:avLst/>
            </a:prstGeom>
          </xdr:spPr>
        </xdr:pic>
        <xdr:grpSp>
          <xdr:nvGrpSpPr>
            <xdr:cNvPr id="231" name="Group 230">
              <a:extLst>
                <a:ext uri="{FF2B5EF4-FFF2-40B4-BE49-F238E27FC236}">
                  <a16:creationId xmlns:a16="http://schemas.microsoft.com/office/drawing/2014/main" id="{C3EEA30E-42B0-088C-9004-ABB9EE53895F}"/>
                </a:ext>
              </a:extLst>
            </xdr:cNvPr>
            <xdr:cNvGrpSpPr/>
          </xdr:nvGrpSpPr>
          <xdr:grpSpPr>
            <a:xfrm>
              <a:off x="2546674" y="4548990"/>
              <a:ext cx="382714" cy="382714"/>
              <a:chOff x="0" y="0"/>
              <a:chExt cx="812800" cy="812800"/>
            </a:xfrm>
          </xdr:grpSpPr>
          <xdr:sp macro="" textlink="">
            <xdr:nvSpPr>
              <xdr:cNvPr id="258" name="Freeform 38">
                <a:extLst>
                  <a:ext uri="{FF2B5EF4-FFF2-40B4-BE49-F238E27FC236}">
                    <a16:creationId xmlns:a16="http://schemas.microsoft.com/office/drawing/2014/main" id="{EC7B77A9-8EB2-D7D5-5104-F4E915EF06D9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9" name="TextBox 39">
                <a:extLst>
                  <a:ext uri="{FF2B5EF4-FFF2-40B4-BE49-F238E27FC236}">
                    <a16:creationId xmlns:a16="http://schemas.microsoft.com/office/drawing/2014/main" id="{7B64D38A-D3A6-99F3-E5B5-D1312A1C9653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232" name="Picture 231">
              <a:extLst>
                <a:ext uri="{FF2B5EF4-FFF2-40B4-BE49-F238E27FC236}">
                  <a16:creationId xmlns:a16="http://schemas.microsoft.com/office/drawing/2014/main" id="{351DB127-10AA-E6FD-1664-7FC51BC0DF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449665" y="5162409"/>
              <a:ext cx="580384" cy="580384"/>
            </a:xfrm>
            <a:prstGeom prst="rect">
              <a:avLst/>
            </a:prstGeom>
          </xdr:spPr>
        </xdr:pic>
        <xdr:grpSp>
          <xdr:nvGrpSpPr>
            <xdr:cNvPr id="233" name="Group 232">
              <a:extLst>
                <a:ext uri="{FF2B5EF4-FFF2-40B4-BE49-F238E27FC236}">
                  <a16:creationId xmlns:a16="http://schemas.microsoft.com/office/drawing/2014/main" id="{21528EFB-FC57-F01F-4A8A-0C61CE9A145C}"/>
                </a:ext>
              </a:extLst>
            </xdr:cNvPr>
            <xdr:cNvGrpSpPr/>
          </xdr:nvGrpSpPr>
          <xdr:grpSpPr>
            <a:xfrm>
              <a:off x="2548500" y="5261244"/>
              <a:ext cx="382714" cy="382714"/>
              <a:chOff x="0" y="0"/>
              <a:chExt cx="812800" cy="812800"/>
            </a:xfrm>
          </xdr:grpSpPr>
          <xdr:sp macro="" textlink="">
            <xdr:nvSpPr>
              <xdr:cNvPr id="256" name="Freeform 43">
                <a:extLst>
                  <a:ext uri="{FF2B5EF4-FFF2-40B4-BE49-F238E27FC236}">
                    <a16:creationId xmlns:a16="http://schemas.microsoft.com/office/drawing/2014/main" id="{432B36EE-A584-33A9-8ACF-67CB330AD41E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7" name="TextBox 44">
                <a:extLst>
                  <a:ext uri="{FF2B5EF4-FFF2-40B4-BE49-F238E27FC236}">
                    <a16:creationId xmlns:a16="http://schemas.microsoft.com/office/drawing/2014/main" id="{C83D1407-CD38-AAEA-5606-36B496DD6DEA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34" name="Freeform 4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F8E6AE41-4909-7347-81DF-F5BEEAECE807}"/>
                </a:ext>
              </a:extLst>
            </xdr:cNvPr>
            <xdr:cNvSpPr/>
          </xdr:nvSpPr>
          <xdr:spPr>
            <a:xfrm>
              <a:off x="6359839" y="3267421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235" name="Picture 234">
              <a:extLst>
                <a:ext uri="{FF2B5EF4-FFF2-40B4-BE49-F238E27FC236}">
                  <a16:creationId xmlns:a16="http://schemas.microsoft.com/office/drawing/2014/main" id="{E9191FB6-220C-6BF9-272D-50B72EDA7C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447922" y="5874747"/>
              <a:ext cx="579378" cy="579378"/>
            </a:xfrm>
            <a:prstGeom prst="rect">
              <a:avLst/>
            </a:prstGeom>
          </xdr:spPr>
        </xdr:pic>
        <xdr:grpSp>
          <xdr:nvGrpSpPr>
            <xdr:cNvPr id="236" name="Group 235">
              <a:extLst>
                <a:ext uri="{FF2B5EF4-FFF2-40B4-BE49-F238E27FC236}">
                  <a16:creationId xmlns:a16="http://schemas.microsoft.com/office/drawing/2014/main" id="{E4D74658-ACCA-1799-9A8D-40DF3DA1DF76}"/>
                </a:ext>
              </a:extLst>
            </xdr:cNvPr>
            <xdr:cNvGrpSpPr/>
          </xdr:nvGrpSpPr>
          <xdr:grpSpPr>
            <a:xfrm>
              <a:off x="2546586" y="5973410"/>
              <a:ext cx="382051" cy="382051"/>
              <a:chOff x="0" y="0"/>
              <a:chExt cx="812800" cy="812800"/>
            </a:xfrm>
          </xdr:grpSpPr>
          <xdr:sp macro="" textlink="">
            <xdr:nvSpPr>
              <xdr:cNvPr id="254" name="Freeform 79">
                <a:extLst>
                  <a:ext uri="{FF2B5EF4-FFF2-40B4-BE49-F238E27FC236}">
                    <a16:creationId xmlns:a16="http://schemas.microsoft.com/office/drawing/2014/main" id="{8EDC9EF5-23B7-8D16-48BC-C07009AE7DC4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5" name="TextBox 80">
                <a:extLst>
                  <a:ext uri="{FF2B5EF4-FFF2-40B4-BE49-F238E27FC236}">
                    <a16:creationId xmlns:a16="http://schemas.microsoft.com/office/drawing/2014/main" id="{7611EC4A-CDC3-8CEB-DFC9-2922065AF360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37" name="Freeform 81">
              <a:extLst>
                <a:ext uri="{FF2B5EF4-FFF2-40B4-BE49-F238E27FC236}">
                  <a16:creationId xmlns:a16="http://schemas.microsoft.com/office/drawing/2014/main" id="{FC9BD3C8-5F27-5FE3-BF16-733E1A85D387}"/>
                </a:ext>
              </a:extLst>
            </xdr:cNvPr>
            <xdr:cNvSpPr/>
          </xdr:nvSpPr>
          <xdr:spPr>
            <a:xfrm>
              <a:off x="2655641" y="3911370"/>
              <a:ext cx="168433" cy="231921"/>
            </a:xfrm>
            <a:custGeom>
              <a:avLst/>
              <a:gdLst/>
              <a:ahLst/>
              <a:cxnLst/>
              <a:rect l="l" t="t" r="r" b="b"/>
              <a:pathLst>
                <a:path w="168433" h="231921">
                  <a:moveTo>
                    <a:pt x="0" y="0"/>
                  </a:moveTo>
                  <a:lnTo>
                    <a:pt x="168432" y="0"/>
                  </a:lnTo>
                  <a:lnTo>
                    <a:pt x="168432" y="231921"/>
                  </a:lnTo>
                  <a:lnTo>
                    <a:pt x="0" y="231921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7">
                <a:extLst>
                  <a:ext uri="{96DAC541-7B7A-43D3-8B79-37D633B846F1}">
                    <asvg:svgBlip xmlns:asvg="http://schemas.microsoft.com/office/drawing/2016/SVG/main" r:embed="rId18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38" name="Freeform 82">
              <a:extLst>
                <a:ext uri="{FF2B5EF4-FFF2-40B4-BE49-F238E27FC236}">
                  <a16:creationId xmlns:a16="http://schemas.microsoft.com/office/drawing/2014/main" id="{E644EC06-9276-D34B-4F98-48DF610970E9}"/>
                </a:ext>
              </a:extLst>
            </xdr:cNvPr>
            <xdr:cNvSpPr/>
          </xdr:nvSpPr>
          <xdr:spPr>
            <a:xfrm>
              <a:off x="2630749" y="4629753"/>
              <a:ext cx="218217" cy="221189"/>
            </a:xfrm>
            <a:custGeom>
              <a:avLst/>
              <a:gdLst/>
              <a:ahLst/>
              <a:cxnLst/>
              <a:rect l="l" t="t" r="r" b="b"/>
              <a:pathLst>
                <a:path w="218217" h="221189">
                  <a:moveTo>
                    <a:pt x="0" y="0"/>
                  </a:moveTo>
                  <a:lnTo>
                    <a:pt x="218216" y="0"/>
                  </a:lnTo>
                  <a:lnTo>
                    <a:pt x="218216" y="221189"/>
                  </a:lnTo>
                  <a:lnTo>
                    <a:pt x="0" y="221189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9">
                <a:extLst>
                  <a:ext uri="{96DAC541-7B7A-43D3-8B79-37D633B846F1}">
                    <asvg:svgBlip xmlns:asvg="http://schemas.microsoft.com/office/drawing/2016/SVG/main" r:embed="rId20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39" name="Freeform 83">
              <a:extLst>
                <a:ext uri="{FF2B5EF4-FFF2-40B4-BE49-F238E27FC236}">
                  <a16:creationId xmlns:a16="http://schemas.microsoft.com/office/drawing/2014/main" id="{DE4DDC0F-D349-04A6-0335-04CB1A77FEB3}"/>
                </a:ext>
              </a:extLst>
            </xdr:cNvPr>
            <xdr:cNvSpPr/>
          </xdr:nvSpPr>
          <xdr:spPr>
            <a:xfrm>
              <a:off x="2630749" y="6046853"/>
              <a:ext cx="241655" cy="225646"/>
            </a:xfrm>
            <a:custGeom>
              <a:avLst/>
              <a:gdLst/>
              <a:ahLst/>
              <a:cxnLst/>
              <a:rect l="l" t="t" r="r" b="b"/>
              <a:pathLst>
                <a:path w="241655" h="225646">
                  <a:moveTo>
                    <a:pt x="0" y="0"/>
                  </a:moveTo>
                  <a:lnTo>
                    <a:pt x="241655" y="0"/>
                  </a:lnTo>
                  <a:lnTo>
                    <a:pt x="241655" y="225645"/>
                  </a:lnTo>
                  <a:lnTo>
                    <a:pt x="0" y="225645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1"/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40" name="Freeform 84">
              <a:extLst>
                <a:ext uri="{FF2B5EF4-FFF2-40B4-BE49-F238E27FC236}">
                  <a16:creationId xmlns:a16="http://schemas.microsoft.com/office/drawing/2014/main" id="{010A2BDC-57EF-8A38-61B4-BB1A87C8A8AF}"/>
                </a:ext>
              </a:extLst>
            </xdr:cNvPr>
            <xdr:cNvSpPr/>
          </xdr:nvSpPr>
          <xdr:spPr>
            <a:xfrm>
              <a:off x="2613245" y="5319673"/>
              <a:ext cx="253224" cy="253224"/>
            </a:xfrm>
            <a:custGeom>
              <a:avLst/>
              <a:gdLst/>
              <a:ahLst/>
              <a:cxnLst/>
              <a:rect l="l" t="t" r="r" b="b"/>
              <a:pathLst>
                <a:path w="253224" h="253224">
                  <a:moveTo>
                    <a:pt x="0" y="0"/>
                  </a:moveTo>
                  <a:lnTo>
                    <a:pt x="253224" y="0"/>
                  </a:lnTo>
                  <a:lnTo>
                    <a:pt x="253224" y="253224"/>
                  </a:lnTo>
                  <a:lnTo>
                    <a:pt x="0" y="253224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2">
                <a:extLst>
                  <a:ext uri="{96DAC541-7B7A-43D3-8B79-37D633B846F1}">
                    <asvg:svgBlip xmlns:asvg="http://schemas.microsoft.com/office/drawing/2016/SVG/main" r:embed="rId23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41" name="TextBox 87">
              <a:extLst>
                <a:ext uri="{FF2B5EF4-FFF2-40B4-BE49-F238E27FC236}">
                  <a16:creationId xmlns:a16="http://schemas.microsoft.com/office/drawing/2014/main" id="{DF118164-70F8-F925-8BB6-494C67D818E4}"/>
                </a:ext>
              </a:extLst>
            </xdr:cNvPr>
            <xdr:cNvSpPr txBox="1"/>
          </xdr:nvSpPr>
          <xdr:spPr>
            <a:xfrm>
              <a:off x="2496204" y="3188462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Summary Chart</a:t>
              </a:r>
            </a:p>
          </xdr:txBody>
        </xdr:sp>
        <xdr:sp macro="" textlink="">
          <xdr:nvSpPr>
            <xdr:cNvPr id="242" name="TextBox 103">
              <a:extLst>
                <a:ext uri="{FF2B5EF4-FFF2-40B4-BE49-F238E27FC236}">
                  <a16:creationId xmlns:a16="http://schemas.microsoft.com/office/drawing/2014/main" id="{DBB20138-4FBC-257F-C5B4-F9137AE4C254}"/>
                </a:ext>
              </a:extLst>
            </xdr:cNvPr>
            <xdr:cNvSpPr txBox="1"/>
          </xdr:nvSpPr>
          <xdr:spPr>
            <a:xfrm>
              <a:off x="3116860" y="3747823"/>
              <a:ext cx="2474627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Trips Made</a:t>
              </a:r>
            </a:p>
          </xdr:txBody>
        </xdr:sp>
        <xdr:sp macro="" textlink="">
          <xdr:nvSpPr>
            <xdr:cNvPr id="243" name="TextBox 104">
              <a:extLst>
                <a:ext uri="{FF2B5EF4-FFF2-40B4-BE49-F238E27FC236}">
                  <a16:creationId xmlns:a16="http://schemas.microsoft.com/office/drawing/2014/main" id="{61DFE0AD-A31A-BA6F-4097-BAE8F6168775}"/>
                </a:ext>
              </a:extLst>
            </xdr:cNvPr>
            <xdr:cNvSpPr txBox="1"/>
          </xdr:nvSpPr>
          <xdr:spPr>
            <a:xfrm>
              <a:off x="3116860" y="406113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3,130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trips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3,074 </a:t>
              </a:r>
              <a:r>
                <a:rPr lang="en-US" sz="1200" b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trips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 </a:t>
              </a:r>
            </a:p>
          </xdr:txBody>
        </xdr:sp>
        <xdr:sp macro="" textlink="">
          <xdr:nvSpPr>
            <xdr:cNvPr id="244" name="TextBox 105">
              <a:extLst>
                <a:ext uri="{FF2B5EF4-FFF2-40B4-BE49-F238E27FC236}">
                  <a16:creationId xmlns:a16="http://schemas.microsoft.com/office/drawing/2014/main" id="{A24255DA-DE62-41B9-730E-0D3F3B6D9811}"/>
                </a:ext>
              </a:extLst>
            </xdr:cNvPr>
            <xdr:cNvSpPr txBox="1"/>
          </xdr:nvSpPr>
          <xdr:spPr>
            <a:xfrm>
              <a:off x="6006019" y="4061130"/>
              <a:ext cx="453715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1.79%</a:t>
              </a:r>
            </a:p>
          </xdr:txBody>
        </xdr:sp>
        <xdr:sp macro="" textlink="">
          <xdr:nvSpPr>
            <xdr:cNvPr id="245" name="TextBox 106">
              <a:extLst>
                <a:ext uri="{FF2B5EF4-FFF2-40B4-BE49-F238E27FC236}">
                  <a16:creationId xmlns:a16="http://schemas.microsoft.com/office/drawing/2014/main" id="{DC95C87C-A59D-1A5C-4FAB-B9A01A38E0E0}"/>
                </a:ext>
              </a:extLst>
            </xdr:cNvPr>
            <xdr:cNvSpPr txBox="1"/>
          </xdr:nvSpPr>
          <xdr:spPr>
            <a:xfrm>
              <a:off x="3115034" y="4460421"/>
              <a:ext cx="2067930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Hours Operated</a:t>
              </a:r>
            </a:p>
          </xdr:txBody>
        </xdr:sp>
        <xdr:sp macro="" textlink="">
          <xdr:nvSpPr>
            <xdr:cNvPr id="246" name="TextBox 107">
              <a:extLst>
                <a:ext uri="{FF2B5EF4-FFF2-40B4-BE49-F238E27FC236}">
                  <a16:creationId xmlns:a16="http://schemas.microsoft.com/office/drawing/2014/main" id="{F6B4BF1C-8B7A-AFB8-7307-978A3D931E2C}"/>
                </a:ext>
              </a:extLst>
            </xdr:cNvPr>
            <xdr:cNvSpPr txBox="1"/>
          </xdr:nvSpPr>
          <xdr:spPr>
            <a:xfrm>
              <a:off x="3115034" y="4774566"/>
              <a:ext cx="2773626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2,902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to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2,895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</a:t>
              </a:r>
            </a:p>
          </xdr:txBody>
        </xdr:sp>
        <xdr:sp macro="" textlink="">
          <xdr:nvSpPr>
            <xdr:cNvPr id="247" name="TextBox 108">
              <a:extLst>
                <a:ext uri="{FF2B5EF4-FFF2-40B4-BE49-F238E27FC236}">
                  <a16:creationId xmlns:a16="http://schemas.microsoft.com/office/drawing/2014/main" id="{44331318-3077-923B-DA2F-DABC6C8B61B6}"/>
                </a:ext>
              </a:extLst>
            </xdr:cNvPr>
            <xdr:cNvSpPr txBox="1"/>
          </xdr:nvSpPr>
          <xdr:spPr>
            <a:xfrm>
              <a:off x="5953595" y="4774566"/>
              <a:ext cx="504314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0.24%</a:t>
              </a:r>
            </a:p>
          </xdr:txBody>
        </xdr:sp>
        <xdr:sp macro="" textlink="">
          <xdr:nvSpPr>
            <xdr:cNvPr id="248" name="TextBox 109">
              <a:extLst>
                <a:ext uri="{FF2B5EF4-FFF2-40B4-BE49-F238E27FC236}">
                  <a16:creationId xmlns:a16="http://schemas.microsoft.com/office/drawing/2014/main" id="{277D56E6-EECA-3EDF-C929-0F6C4F7E427D}"/>
                </a:ext>
              </a:extLst>
            </xdr:cNvPr>
            <xdr:cNvSpPr txBox="1"/>
          </xdr:nvSpPr>
          <xdr:spPr>
            <a:xfrm>
              <a:off x="3116860" y="5172674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Operators</a:t>
              </a:r>
            </a:p>
          </xdr:txBody>
        </xdr:sp>
        <xdr:sp macro="" textlink="">
          <xdr:nvSpPr>
            <xdr:cNvPr id="249" name="TextBox 110">
              <a:extLst>
                <a:ext uri="{FF2B5EF4-FFF2-40B4-BE49-F238E27FC236}">
                  <a16:creationId xmlns:a16="http://schemas.microsoft.com/office/drawing/2014/main" id="{AB04C346-68B8-4C19-FB19-3E139F16834F}"/>
                </a:ext>
              </a:extLst>
            </xdr:cNvPr>
            <xdr:cNvSpPr txBox="1"/>
          </xdr:nvSpPr>
          <xdr:spPr>
            <a:xfrm>
              <a:off x="3116860" y="548682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36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36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</a:t>
              </a:r>
            </a:p>
          </xdr:txBody>
        </xdr:sp>
        <xdr:sp macro="" textlink="">
          <xdr:nvSpPr>
            <xdr:cNvPr id="250" name="TextBox 111">
              <a:extLst>
                <a:ext uri="{FF2B5EF4-FFF2-40B4-BE49-F238E27FC236}">
                  <a16:creationId xmlns:a16="http://schemas.microsoft.com/office/drawing/2014/main" id="{4F618AF2-FF8A-7DC8-C0FC-9B6CD55D7DCC}"/>
                </a:ext>
              </a:extLst>
            </xdr:cNvPr>
            <xdr:cNvSpPr txBox="1"/>
          </xdr:nvSpPr>
          <xdr:spPr>
            <a:xfrm>
              <a:off x="5953595" y="5486820"/>
              <a:ext cx="50614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0%</a:t>
              </a:r>
            </a:p>
          </xdr:txBody>
        </xdr:sp>
        <xdr:sp macro="" textlink="">
          <xdr:nvSpPr>
            <xdr:cNvPr id="251" name="TextBox 119">
              <a:extLst>
                <a:ext uri="{FF2B5EF4-FFF2-40B4-BE49-F238E27FC236}">
                  <a16:creationId xmlns:a16="http://schemas.microsoft.com/office/drawing/2014/main" id="{BE1FC55E-5993-322C-6D7E-CC9426F02574}"/>
                </a:ext>
              </a:extLst>
            </xdr:cNvPr>
            <xdr:cNvSpPr txBox="1"/>
          </xdr:nvSpPr>
          <xdr:spPr>
            <a:xfrm>
              <a:off x="3115034" y="5879749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Days Worked</a:t>
              </a:r>
            </a:p>
          </xdr:txBody>
        </xdr:sp>
        <xdr:sp macro="" textlink="">
          <xdr:nvSpPr>
            <xdr:cNvPr id="252" name="TextBox 120">
              <a:extLst>
                <a:ext uri="{FF2B5EF4-FFF2-40B4-BE49-F238E27FC236}">
                  <a16:creationId xmlns:a16="http://schemas.microsoft.com/office/drawing/2014/main" id="{98D0089E-06E1-8598-63D1-27B7676A81FD}"/>
                </a:ext>
              </a:extLst>
            </xdr:cNvPr>
            <xdr:cNvSpPr txBox="1"/>
          </xdr:nvSpPr>
          <xdr:spPr>
            <a:xfrm>
              <a:off x="3115034" y="6193894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</a:t>
              </a:r>
            </a:p>
          </xdr:txBody>
        </xdr:sp>
        <xdr:sp macro="" textlink="">
          <xdr:nvSpPr>
            <xdr:cNvPr id="253" name="TextBox 121">
              <a:extLst>
                <a:ext uri="{FF2B5EF4-FFF2-40B4-BE49-F238E27FC236}">
                  <a16:creationId xmlns:a16="http://schemas.microsoft.com/office/drawing/2014/main" id="{53EF4043-57F1-DCD1-5A8D-2A87C3390BB4}"/>
                </a:ext>
              </a:extLst>
            </xdr:cNvPr>
            <xdr:cNvSpPr txBox="1"/>
          </xdr:nvSpPr>
          <xdr:spPr>
            <a:xfrm>
              <a:off x="5951769" y="6193894"/>
              <a:ext cx="50614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0%</a:t>
              </a:r>
            </a:p>
          </xdr:txBody>
        </xdr:sp>
      </xdr:grpSp>
      <xdr:sp macro="" textlink="">
        <xdr:nvSpPr>
          <xdr:cNvPr id="225" name="Freeform 35">
            <a:extLst>
              <a:ext uri="{FF2B5EF4-FFF2-40B4-BE49-F238E27FC236}">
                <a16:creationId xmlns:a16="http://schemas.microsoft.com/office/drawing/2014/main" id="{AF7336DC-D488-2982-B5FB-95695C088E72}"/>
              </a:ext>
            </a:extLst>
          </xdr:cNvPr>
          <xdr:cNvSpPr/>
        </xdr:nvSpPr>
        <xdr:spPr>
          <a:xfrm>
            <a:off x="6181725" y="4457105"/>
            <a:ext cx="239576" cy="143745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12</xdr:col>
      <xdr:colOff>410583</xdr:colOff>
      <xdr:row>17</xdr:row>
      <xdr:rowOff>140996</xdr:rowOff>
    </xdr:from>
    <xdr:to>
      <xdr:col>13</xdr:col>
      <xdr:colOff>380594</xdr:colOff>
      <xdr:row>20</xdr:row>
      <xdr:rowOff>148874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1CE799E0-2148-4ECD-38F0-F1E2FC4A89CA}"/>
            </a:ext>
          </a:extLst>
        </xdr:cNvPr>
        <xdr:cNvGrpSpPr/>
      </xdr:nvGrpSpPr>
      <xdr:grpSpPr>
        <a:xfrm>
          <a:off x="7758440" y="3379496"/>
          <a:ext cx="582333" cy="579378"/>
          <a:chOff x="7736174" y="4061491"/>
          <a:chExt cx="580477" cy="579378"/>
        </a:xfrm>
      </xdr:grpSpPr>
      <xdr:pic>
        <xdr:nvPicPr>
          <xdr:cNvPr id="72" name="Picture 71">
            <a:extLst>
              <a:ext uri="{FF2B5EF4-FFF2-40B4-BE49-F238E27FC236}">
                <a16:creationId xmlns:a16="http://schemas.microsoft.com/office/drawing/2014/main" id="{420500FF-ABEE-90BE-93CA-C15C7B47FE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7736174" y="4061491"/>
            <a:ext cx="580477" cy="579378"/>
          </a:xfrm>
          <a:prstGeom prst="rect">
            <a:avLst/>
          </a:prstGeom>
        </xdr:spPr>
      </xdr:pic>
      <xdr:sp macro="" textlink="">
        <xdr:nvSpPr>
          <xdr:cNvPr id="109" name="Freeform 33">
            <a:extLst>
              <a:ext uri="{FF2B5EF4-FFF2-40B4-BE49-F238E27FC236}">
                <a16:creationId xmlns:a16="http://schemas.microsoft.com/office/drawing/2014/main" id="{5FF5F05C-72F5-345D-E410-3EBEE6435617}"/>
              </a:ext>
            </a:extLst>
          </xdr:cNvPr>
          <xdr:cNvSpPr/>
        </xdr:nvSpPr>
        <xdr:spPr>
          <a:xfrm>
            <a:off x="7835025" y="4160155"/>
            <a:ext cx="382776" cy="382051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266" name="Freeform 84">
            <a:extLst>
              <a:ext uri="{FF2B5EF4-FFF2-40B4-BE49-F238E27FC236}">
                <a16:creationId xmlns:a16="http://schemas.microsoft.com/office/drawing/2014/main" id="{5396070C-198C-4BEA-AF00-CB59ACA62E89}"/>
              </a:ext>
            </a:extLst>
          </xdr:cNvPr>
          <xdr:cNvSpPr/>
        </xdr:nvSpPr>
        <xdr:spPr>
          <a:xfrm>
            <a:off x="7894997" y="4226460"/>
            <a:ext cx="256746" cy="253224"/>
          </a:xfrm>
          <a:custGeom>
            <a:avLst/>
            <a:gdLst/>
            <a:ahLst/>
            <a:cxnLst/>
            <a:rect l="l" t="t" r="r" b="b"/>
            <a:pathLst>
              <a:path w="253224" h="253224">
                <a:moveTo>
                  <a:pt x="0" y="0"/>
                </a:moveTo>
                <a:lnTo>
                  <a:pt x="253224" y="0"/>
                </a:lnTo>
                <a:lnTo>
                  <a:pt x="253224" y="253224"/>
                </a:lnTo>
                <a:lnTo>
                  <a:pt x="0" y="253224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22">
              <a:extLs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28</xdr:col>
      <xdr:colOff>329568</xdr:colOff>
      <xdr:row>3</xdr:row>
      <xdr:rowOff>101684</xdr:rowOff>
    </xdr:from>
    <xdr:to>
      <xdr:col>36</xdr:col>
      <xdr:colOff>82528</xdr:colOff>
      <xdr:row>39</xdr:row>
      <xdr:rowOff>101684</xdr:rowOff>
    </xdr:to>
    <xdr:grpSp>
      <xdr:nvGrpSpPr>
        <xdr:cNvPr id="269" name="Group 268">
          <a:extLst>
            <a:ext uri="{FF2B5EF4-FFF2-40B4-BE49-F238E27FC236}">
              <a16:creationId xmlns:a16="http://schemas.microsoft.com/office/drawing/2014/main" id="{C55A458D-C2F3-D530-D37A-A59DF4A344CF}"/>
            </a:ext>
          </a:extLst>
        </xdr:cNvPr>
        <xdr:cNvGrpSpPr/>
      </xdr:nvGrpSpPr>
      <xdr:grpSpPr>
        <a:xfrm>
          <a:off x="17474568" y="673184"/>
          <a:ext cx="4651531" cy="6858000"/>
          <a:chOff x="2162175" y="2771180"/>
          <a:chExt cx="4629763" cy="4276053"/>
        </a:xfrm>
      </xdr:grpSpPr>
      <xdr:grpSp>
        <xdr:nvGrpSpPr>
          <xdr:cNvPr id="271" name="Group 270">
            <a:extLst>
              <a:ext uri="{FF2B5EF4-FFF2-40B4-BE49-F238E27FC236}">
                <a16:creationId xmlns:a16="http://schemas.microsoft.com/office/drawing/2014/main" id="{ED781CD3-F743-B7D5-660D-1F5B7B0ACDC3}"/>
              </a:ext>
            </a:extLst>
          </xdr:cNvPr>
          <xdr:cNvGrpSpPr/>
        </xdr:nvGrpSpPr>
        <xdr:grpSpPr>
          <a:xfrm>
            <a:off x="2162175" y="2771180"/>
            <a:ext cx="4629763" cy="4276053"/>
            <a:chOff x="0" y="-47625"/>
            <a:chExt cx="1646138" cy="1520374"/>
          </a:xfrm>
        </xdr:grpSpPr>
        <xdr:sp macro="" textlink="">
          <xdr:nvSpPr>
            <xdr:cNvPr id="278" name="Freeform 29">
              <a:extLst>
                <a:ext uri="{FF2B5EF4-FFF2-40B4-BE49-F238E27FC236}">
                  <a16:creationId xmlns:a16="http://schemas.microsoft.com/office/drawing/2014/main" id="{1B84380C-BCE1-3A81-C586-A40E16FCD9B7}"/>
                </a:ext>
              </a:extLst>
            </xdr:cNvPr>
            <xdr:cNvSpPr/>
          </xdr:nvSpPr>
          <xdr:spPr>
            <a:xfrm>
              <a:off x="0" y="0"/>
              <a:ext cx="1646138" cy="1368213"/>
            </a:xfrm>
            <a:custGeom>
              <a:avLst/>
              <a:gdLst/>
              <a:ahLst/>
              <a:cxnLst/>
              <a:rect l="l" t="t" r="r" b="b"/>
              <a:pathLst>
                <a:path w="1646138" h="1472749">
                  <a:moveTo>
                    <a:pt x="28428" y="0"/>
                  </a:moveTo>
                  <a:lnTo>
                    <a:pt x="1617710" y="0"/>
                  </a:lnTo>
                  <a:cubicBezTo>
                    <a:pt x="1633411" y="0"/>
                    <a:pt x="1646138" y="12727"/>
                    <a:pt x="1646138" y="28428"/>
                  </a:cubicBezTo>
                  <a:lnTo>
                    <a:pt x="1646138" y="1444322"/>
                  </a:lnTo>
                  <a:cubicBezTo>
                    <a:pt x="1646138" y="1451861"/>
                    <a:pt x="1643143" y="1459092"/>
                    <a:pt x="1637812" y="1464423"/>
                  </a:cubicBezTo>
                  <a:cubicBezTo>
                    <a:pt x="1632480" y="1469754"/>
                    <a:pt x="1625250" y="1472749"/>
                    <a:pt x="1617710" y="1472749"/>
                  </a:cubicBezTo>
                  <a:lnTo>
                    <a:pt x="28428" y="1472749"/>
                  </a:lnTo>
                  <a:cubicBezTo>
                    <a:pt x="12727" y="1472749"/>
                    <a:pt x="0" y="1460022"/>
                    <a:pt x="0" y="1444322"/>
                  </a:cubicBezTo>
                  <a:lnTo>
                    <a:pt x="0" y="28428"/>
                  </a:lnTo>
                  <a:cubicBezTo>
                    <a:pt x="0" y="12727"/>
                    <a:pt x="12727" y="0"/>
                    <a:pt x="28428" y="0"/>
                  </a:cubicBezTo>
                  <a:close/>
                </a:path>
              </a:pathLst>
            </a:custGeom>
            <a:solidFill>
              <a:srgbClr val="FFFFFF"/>
            </a:solidFill>
            <a:ln cap="sq">
              <a:noFill/>
              <a:prstDash val="solid"/>
              <a:miter/>
            </a:ln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79" name="TextBox 30">
              <a:extLst>
                <a:ext uri="{FF2B5EF4-FFF2-40B4-BE49-F238E27FC236}">
                  <a16:creationId xmlns:a16="http://schemas.microsoft.com/office/drawing/2014/main" id="{6EE27358-FD34-5556-BB44-2DE060C0E133}"/>
                </a:ext>
              </a:extLst>
            </xdr:cNvPr>
            <xdr:cNvSpPr txBox="1"/>
          </xdr:nvSpPr>
          <xdr:spPr>
            <a:xfrm>
              <a:off x="0" y="-47625"/>
              <a:ext cx="1646138" cy="1520374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</xdr:grpSp>
      <xdr:sp macro="" textlink="">
        <xdr:nvSpPr>
          <xdr:cNvPr id="272" name="TextBox 34">
            <a:extLst>
              <a:ext uri="{FF2B5EF4-FFF2-40B4-BE49-F238E27FC236}">
                <a16:creationId xmlns:a16="http://schemas.microsoft.com/office/drawing/2014/main" id="{184F0D18-0D43-D5FE-CB06-0B2CA02BC112}"/>
              </a:ext>
            </a:extLst>
          </xdr:cNvPr>
          <xdr:cNvSpPr txBox="1"/>
        </xdr:nvSpPr>
        <xdr:spPr>
          <a:xfrm>
            <a:off x="2584229" y="3849736"/>
            <a:ext cx="310416" cy="332802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273" name="TextBox 39">
            <a:extLst>
              <a:ext uri="{FF2B5EF4-FFF2-40B4-BE49-F238E27FC236}">
                <a16:creationId xmlns:a16="http://schemas.microsoft.com/office/drawing/2014/main" id="{7176F753-D267-B069-C778-59A61A3D2235}"/>
              </a:ext>
            </a:extLst>
          </xdr:cNvPr>
          <xdr:cNvSpPr txBox="1"/>
        </xdr:nvSpPr>
        <xdr:spPr>
          <a:xfrm>
            <a:off x="2582553" y="4562445"/>
            <a:ext cx="310955" cy="333380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274" name="TextBox 44">
            <a:extLst>
              <a:ext uri="{FF2B5EF4-FFF2-40B4-BE49-F238E27FC236}">
                <a16:creationId xmlns:a16="http://schemas.microsoft.com/office/drawing/2014/main" id="{7D4735D0-A839-472E-DA9B-8F2BC16D0B38}"/>
              </a:ext>
            </a:extLst>
          </xdr:cNvPr>
          <xdr:cNvSpPr txBox="1"/>
        </xdr:nvSpPr>
        <xdr:spPr>
          <a:xfrm>
            <a:off x="2584379" y="5274699"/>
            <a:ext cx="310955" cy="333380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275" name="Freeform 46">
            <a:extLst>
              <a:ext uri="{FF2B5EF4-FFF2-40B4-BE49-F238E27FC236}">
                <a16:creationId xmlns:a16="http://schemas.microsoft.com/office/drawing/2014/main" id="{E5D17963-D340-667F-1B4C-76E92A2BBC2D}"/>
              </a:ext>
            </a:extLst>
          </xdr:cNvPr>
          <xdr:cNvSpPr/>
        </xdr:nvSpPr>
        <xdr:spPr>
          <a:xfrm>
            <a:off x="6359839" y="3113706"/>
            <a:ext cx="99896" cy="149348"/>
          </a:xfrm>
          <a:custGeom>
            <a:avLst/>
            <a:gdLst/>
            <a:ahLst/>
            <a:cxnLst/>
            <a:rect l="l" t="t" r="r" b="b"/>
            <a:pathLst>
              <a:path w="99896" h="149348">
                <a:moveTo>
                  <a:pt x="0" y="0"/>
                </a:moveTo>
                <a:lnTo>
                  <a:pt x="99895" y="0"/>
                </a:lnTo>
                <a:lnTo>
                  <a:pt x="99895" y="149347"/>
                </a:lnTo>
                <a:lnTo>
                  <a:pt x="0" y="14934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276" name="TextBox 80">
            <a:extLst>
              <a:ext uri="{FF2B5EF4-FFF2-40B4-BE49-F238E27FC236}">
                <a16:creationId xmlns:a16="http://schemas.microsoft.com/office/drawing/2014/main" id="{7299AD51-8FBF-9E50-9557-CD6FDA0D13A5}"/>
              </a:ext>
            </a:extLst>
          </xdr:cNvPr>
          <xdr:cNvSpPr txBox="1"/>
        </xdr:nvSpPr>
        <xdr:spPr>
          <a:xfrm>
            <a:off x="2582403" y="5986841"/>
            <a:ext cx="310416" cy="332802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277" name="TextBox 87">
            <a:extLst>
              <a:ext uri="{FF2B5EF4-FFF2-40B4-BE49-F238E27FC236}">
                <a16:creationId xmlns:a16="http://schemas.microsoft.com/office/drawing/2014/main" id="{6956F258-CE1C-8304-76F8-6DC785B1092F}"/>
              </a:ext>
            </a:extLst>
          </xdr:cNvPr>
          <xdr:cNvSpPr txBox="1"/>
        </xdr:nvSpPr>
        <xdr:spPr>
          <a:xfrm>
            <a:off x="3179749" y="3150489"/>
            <a:ext cx="1716821" cy="259641"/>
          </a:xfrm>
          <a:prstGeom prst="rect">
            <a:avLst/>
          </a:prstGeom>
        </xdr:spPr>
        <xdr:txBody>
          <a:bodyPr wrap="square" lIns="0" tIns="0" rIns="0" bIns="0" rtlCol="0" anchor="t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960"/>
              </a:lnSpc>
            </a:pPr>
            <a:r>
              <a:rPr lang="en-US" sz="1400" b="1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Trips Made</a:t>
            </a:r>
          </a:p>
        </xdr:txBody>
      </xdr:sp>
    </xdr:grpSp>
    <xdr:clientData/>
  </xdr:twoCellAnchor>
  <xdr:twoCellAnchor>
    <xdr:from>
      <xdr:col>13</xdr:col>
      <xdr:colOff>122464</xdr:colOff>
      <xdr:row>21</xdr:row>
      <xdr:rowOff>132755</xdr:rowOff>
    </xdr:from>
    <xdr:to>
      <xdr:col>18</xdr:col>
      <xdr:colOff>552450</xdr:colOff>
      <xdr:row>24</xdr:row>
      <xdr:rowOff>95250</xdr:rowOff>
    </xdr:to>
    <xdr:sp macro="" textlink="">
      <xdr:nvSpPr>
        <xdr:cNvPr id="159" name="TextBox 103">
          <a:extLst>
            <a:ext uri="{FF2B5EF4-FFF2-40B4-BE49-F238E27FC236}">
              <a16:creationId xmlns:a16="http://schemas.microsoft.com/office/drawing/2014/main" id="{D788C7AD-28B5-4FE5-A1B0-D0498DEB92B8}"/>
            </a:ext>
          </a:extLst>
        </xdr:cNvPr>
        <xdr:cNvSpPr txBox="1"/>
      </xdr:nvSpPr>
      <xdr:spPr>
        <a:xfrm>
          <a:off x="8047264" y="4133255"/>
          <a:ext cx="3477986" cy="533995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239"/>
            </a:lnSpc>
          </a:pPr>
          <a:r>
            <a:rPr lang="en-US" sz="1599" b="1">
              <a:solidFill>
                <a:srgbClr val="252525"/>
              </a:solidFill>
              <a:latin typeface="Lato Heavy"/>
              <a:ea typeface="Lato Heavy"/>
              <a:cs typeface="Lato Heavy"/>
              <a:sym typeface="Lato Heavy"/>
            </a:rPr>
            <a:t>EXPRESS TRANSPORTATION SERVICES, LLC</a:t>
          </a:r>
        </a:p>
      </xdr:txBody>
    </xdr:sp>
    <xdr:clientData/>
  </xdr:twoCellAnchor>
  <xdr:twoCellAnchor>
    <xdr:from>
      <xdr:col>13</xdr:col>
      <xdr:colOff>370942</xdr:colOff>
      <xdr:row>25</xdr:row>
      <xdr:rowOff>8930</xdr:rowOff>
    </xdr:from>
    <xdr:to>
      <xdr:col>17</xdr:col>
      <xdr:colOff>66261</xdr:colOff>
      <xdr:row>26</xdr:row>
      <xdr:rowOff>41408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6194F19-E147-CE43-E4E0-8305362A5183}"/>
            </a:ext>
          </a:extLst>
        </xdr:cNvPr>
        <xdr:cNvGrpSpPr/>
      </xdr:nvGrpSpPr>
      <xdr:grpSpPr>
        <a:xfrm>
          <a:off x="8331121" y="4771430"/>
          <a:ext cx="2144604" cy="222978"/>
          <a:chOff x="8338812" y="4730017"/>
          <a:chExt cx="2146971" cy="222978"/>
        </a:xfrm>
      </xdr:grpSpPr>
      <xdr:sp macro="" textlink="">
        <xdr:nvSpPr>
          <xdr:cNvPr id="160" name="TextBox 107">
            <a:extLst>
              <a:ext uri="{FF2B5EF4-FFF2-40B4-BE49-F238E27FC236}">
                <a16:creationId xmlns:a16="http://schemas.microsoft.com/office/drawing/2014/main" id="{58D6ADA0-2B6A-46A2-8DDB-030C03935B59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1">
                <a:solidFill>
                  <a:srgbClr val="38B6FF"/>
                </a:solidFill>
                <a:latin typeface="Poppins"/>
                <a:ea typeface="Poppins"/>
                <a:cs typeface="Poppins"/>
                <a:sym typeface="Poppins"/>
              </a:rPr>
              <a:t>BANKS, LENARD </a:t>
            </a:r>
          </a:p>
        </xdr:txBody>
      </xdr:sp>
      <xdr:sp macro="" textlink="">
        <xdr:nvSpPr>
          <xdr:cNvPr id="161" name="TextBox 107">
            <a:extLst>
              <a:ext uri="{FF2B5EF4-FFF2-40B4-BE49-F238E27FC236}">
                <a16:creationId xmlns:a16="http://schemas.microsoft.com/office/drawing/2014/main" id="{0F01D9E8-68AF-4D02-8EF9-4EE818E6514B}"/>
              </a:ext>
            </a:extLst>
          </xdr:cNvPr>
          <xdr:cNvSpPr txBox="1"/>
        </xdr:nvSpPr>
        <xdr:spPr>
          <a:xfrm>
            <a:off x="9849560" y="4730017"/>
            <a:ext cx="636223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00BF63"/>
                </a:solidFill>
                <a:latin typeface="Poppins"/>
                <a:ea typeface="Poppins"/>
                <a:cs typeface="Poppins"/>
                <a:sym typeface="Poppins"/>
              </a:rPr>
              <a:t>Added</a:t>
            </a:r>
          </a:p>
        </xdr:txBody>
      </xdr:sp>
    </xdr:grpSp>
    <xdr:clientData/>
  </xdr:twoCellAnchor>
  <xdr:twoCellAnchor>
    <xdr:from>
      <xdr:col>13</xdr:col>
      <xdr:colOff>365973</xdr:colOff>
      <xdr:row>26</xdr:row>
      <xdr:rowOff>153048</xdr:rowOff>
    </xdr:from>
    <xdr:to>
      <xdr:col>17</xdr:col>
      <xdr:colOff>216777</xdr:colOff>
      <xdr:row>27</xdr:row>
      <xdr:rowOff>185526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9B85B06A-4724-41D9-A15F-41A1A4B9095A}"/>
            </a:ext>
          </a:extLst>
        </xdr:cNvPr>
        <xdr:cNvGrpSpPr/>
      </xdr:nvGrpSpPr>
      <xdr:grpSpPr>
        <a:xfrm>
          <a:off x="8326152" y="5106048"/>
          <a:ext cx="2300089" cy="222978"/>
          <a:chOff x="8338812" y="4730017"/>
          <a:chExt cx="2303037" cy="222978"/>
        </a:xfrm>
      </xdr:grpSpPr>
      <xdr:sp macro="" textlink="">
        <xdr:nvSpPr>
          <xdr:cNvPr id="163" name="TextBox 107">
            <a:extLst>
              <a:ext uri="{FF2B5EF4-FFF2-40B4-BE49-F238E27FC236}">
                <a16:creationId xmlns:a16="http://schemas.microsoft.com/office/drawing/2014/main" id="{D1DA41EB-C910-1206-4456-E218D3F31089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1">
                <a:solidFill>
                  <a:srgbClr val="38B6FF"/>
                </a:solidFill>
                <a:latin typeface="Poppins"/>
                <a:ea typeface="Poppins"/>
                <a:cs typeface="Poppins"/>
                <a:sym typeface="Poppins"/>
              </a:rPr>
              <a:t>BANKS, LENARD </a:t>
            </a:r>
          </a:p>
        </xdr:txBody>
      </xdr:sp>
      <xdr:sp macro="" textlink="">
        <xdr:nvSpPr>
          <xdr:cNvPr id="164" name="TextBox 107">
            <a:extLst>
              <a:ext uri="{FF2B5EF4-FFF2-40B4-BE49-F238E27FC236}">
                <a16:creationId xmlns:a16="http://schemas.microsoft.com/office/drawing/2014/main" id="{F5B0316B-CA98-9532-40D8-D51AC0706F8F}"/>
              </a:ext>
            </a:extLst>
          </xdr:cNvPr>
          <xdr:cNvSpPr txBox="1"/>
        </xdr:nvSpPr>
        <xdr:spPr>
          <a:xfrm>
            <a:off x="9849560" y="4730017"/>
            <a:ext cx="792289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FF0000"/>
                </a:solidFill>
                <a:latin typeface="Poppins"/>
                <a:ea typeface="Poppins"/>
                <a:cs typeface="Poppins"/>
                <a:sym typeface="Poppins"/>
              </a:rPr>
              <a:t>Removed</a:t>
            </a:r>
          </a:p>
        </xdr:txBody>
      </xdr:sp>
    </xdr:grpSp>
    <xdr:clientData/>
  </xdr:twoCellAnchor>
  <xdr:twoCellAnchor>
    <xdr:from>
      <xdr:col>20</xdr:col>
      <xdr:colOff>84827</xdr:colOff>
      <xdr:row>3</xdr:row>
      <xdr:rowOff>97943</xdr:rowOff>
    </xdr:from>
    <xdr:to>
      <xdr:col>27</xdr:col>
      <xdr:colOff>443925</xdr:colOff>
      <xdr:row>39</xdr:row>
      <xdr:rowOff>97943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6B010FBC-8773-81DE-8506-6F976DDDA960}"/>
            </a:ext>
          </a:extLst>
        </xdr:cNvPr>
        <xdr:cNvGrpSpPr/>
      </xdr:nvGrpSpPr>
      <xdr:grpSpPr>
        <a:xfrm>
          <a:off x="12331256" y="669443"/>
          <a:ext cx="4645348" cy="6858000"/>
          <a:chOff x="12398054" y="686761"/>
          <a:chExt cx="4602053" cy="6858000"/>
        </a:xfrm>
      </xdr:grpSpPr>
      <xdr:grpSp>
        <xdr:nvGrpSpPr>
          <xdr:cNvPr id="177" name="Group 176">
            <a:extLst>
              <a:ext uri="{FF2B5EF4-FFF2-40B4-BE49-F238E27FC236}">
                <a16:creationId xmlns:a16="http://schemas.microsoft.com/office/drawing/2014/main" id="{9FEAD576-C7E9-512D-72EE-375CCAD0F5D8}"/>
              </a:ext>
            </a:extLst>
          </xdr:cNvPr>
          <xdr:cNvGrpSpPr/>
        </xdr:nvGrpSpPr>
        <xdr:grpSpPr>
          <a:xfrm>
            <a:off x="12398054" y="686761"/>
            <a:ext cx="4602053" cy="6858000"/>
            <a:chOff x="2162175" y="2771180"/>
            <a:chExt cx="4629763" cy="4276053"/>
          </a:xfrm>
        </xdr:grpSpPr>
        <xdr:grpSp>
          <xdr:nvGrpSpPr>
            <xdr:cNvPr id="179" name="Group 178">
              <a:extLst>
                <a:ext uri="{FF2B5EF4-FFF2-40B4-BE49-F238E27FC236}">
                  <a16:creationId xmlns:a16="http://schemas.microsoft.com/office/drawing/2014/main" id="{F3F91581-DA91-7243-4ACF-0695B21D2936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215" name="Freeform 29">
                <a:extLst>
                  <a:ext uri="{FF2B5EF4-FFF2-40B4-BE49-F238E27FC236}">
                    <a16:creationId xmlns:a16="http://schemas.microsoft.com/office/drawing/2014/main" id="{088C0128-88E4-1450-5B50-27439F8FE2E0}"/>
                  </a:ext>
                </a:extLst>
              </xdr:cNvPr>
              <xdr:cNvSpPr/>
            </xdr:nvSpPr>
            <xdr:spPr>
              <a:xfrm>
                <a:off x="0" y="0"/>
                <a:ext cx="1646138" cy="1367700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16" name="TextBox 30">
                <a:extLst>
                  <a:ext uri="{FF2B5EF4-FFF2-40B4-BE49-F238E27FC236}">
                    <a16:creationId xmlns:a16="http://schemas.microsoft.com/office/drawing/2014/main" id="{59D9B5D4-E91A-C972-1CD0-70ABA903F37A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14" name="TextBox 34">
              <a:extLst>
                <a:ext uri="{FF2B5EF4-FFF2-40B4-BE49-F238E27FC236}">
                  <a16:creationId xmlns:a16="http://schemas.microsoft.com/office/drawing/2014/main" id="{CD676AC6-0DD9-A7E8-9786-78C0AE344293}"/>
                </a:ext>
              </a:extLst>
            </xdr:cNvPr>
            <xdr:cNvSpPr txBox="1"/>
          </xdr:nvSpPr>
          <xdr:spPr>
            <a:xfrm>
              <a:off x="2584229" y="3849736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12" name="TextBox 39">
              <a:extLst>
                <a:ext uri="{FF2B5EF4-FFF2-40B4-BE49-F238E27FC236}">
                  <a16:creationId xmlns:a16="http://schemas.microsoft.com/office/drawing/2014/main" id="{E8974D61-4B1E-97A6-2BC5-7E4490549F00}"/>
                </a:ext>
              </a:extLst>
            </xdr:cNvPr>
            <xdr:cNvSpPr txBox="1"/>
          </xdr:nvSpPr>
          <xdr:spPr>
            <a:xfrm>
              <a:off x="2582553" y="4562445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10" name="TextBox 44">
              <a:extLst>
                <a:ext uri="{FF2B5EF4-FFF2-40B4-BE49-F238E27FC236}">
                  <a16:creationId xmlns:a16="http://schemas.microsoft.com/office/drawing/2014/main" id="{879F73C9-DB1B-94BF-03C9-6AD76C98632A}"/>
                </a:ext>
              </a:extLst>
            </xdr:cNvPr>
            <xdr:cNvSpPr txBox="1"/>
          </xdr:nvSpPr>
          <xdr:spPr>
            <a:xfrm>
              <a:off x="2584379" y="5274699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87" name="Freeform 46">
              <a:extLst>
                <a:ext uri="{FF2B5EF4-FFF2-40B4-BE49-F238E27FC236}">
                  <a16:creationId xmlns:a16="http://schemas.microsoft.com/office/drawing/2014/main" id="{A49C02CC-2083-CF09-56AC-10A1F7FCB94D}"/>
                </a:ext>
              </a:extLst>
            </xdr:cNvPr>
            <xdr:cNvSpPr/>
          </xdr:nvSpPr>
          <xdr:spPr>
            <a:xfrm>
              <a:off x="6359839" y="3141655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08" name="TextBox 80">
              <a:extLst>
                <a:ext uri="{FF2B5EF4-FFF2-40B4-BE49-F238E27FC236}">
                  <a16:creationId xmlns:a16="http://schemas.microsoft.com/office/drawing/2014/main" id="{344B02F3-3D78-4D38-8B34-19E0D72A1B85}"/>
                </a:ext>
              </a:extLst>
            </xdr:cNvPr>
            <xdr:cNvSpPr txBox="1"/>
          </xdr:nvSpPr>
          <xdr:spPr>
            <a:xfrm>
              <a:off x="2582403" y="5986841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94" name="TextBox 87">
              <a:extLst>
                <a:ext uri="{FF2B5EF4-FFF2-40B4-BE49-F238E27FC236}">
                  <a16:creationId xmlns:a16="http://schemas.microsoft.com/office/drawing/2014/main" id="{5D8C7E22-D959-0E70-1CB0-56551BC1FEE9}"/>
                </a:ext>
              </a:extLst>
            </xdr:cNvPr>
            <xdr:cNvSpPr txBox="1"/>
          </xdr:nvSpPr>
          <xdr:spPr>
            <a:xfrm>
              <a:off x="3106046" y="3167501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Trips Made</a:t>
              </a:r>
            </a:p>
          </xdr:txBody>
        </xdr:sp>
      </xdr:grp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416E76C3-FD45-9CC1-71C8-178DCCC60968}"/>
              </a:ext>
            </a:extLst>
          </xdr:cNvPr>
          <xdr:cNvGrpSpPr/>
        </xdr:nvGrpSpPr>
        <xdr:grpSpPr>
          <a:xfrm>
            <a:off x="12644584" y="1157408"/>
            <a:ext cx="575915" cy="579378"/>
            <a:chOff x="12691445" y="653143"/>
            <a:chExt cx="574896" cy="579378"/>
          </a:xfrm>
        </xdr:grpSpPr>
        <xdr:pic>
          <xdr:nvPicPr>
            <xdr:cNvPr id="165" name="Picture 164">
              <a:extLst>
                <a:ext uri="{FF2B5EF4-FFF2-40B4-BE49-F238E27FC236}">
                  <a16:creationId xmlns:a16="http://schemas.microsoft.com/office/drawing/2014/main" id="{1D2BC28D-8D05-469B-BA18-58F3A813533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691445" y="653143"/>
              <a:ext cx="574896" cy="579378"/>
            </a:xfrm>
            <a:prstGeom prst="rect">
              <a:avLst/>
            </a:prstGeom>
          </xdr:spPr>
        </xdr:pic>
        <xdr:sp macro="" textlink="">
          <xdr:nvSpPr>
            <xdr:cNvPr id="166" name="Freeform 33">
              <a:extLst>
                <a:ext uri="{FF2B5EF4-FFF2-40B4-BE49-F238E27FC236}">
                  <a16:creationId xmlns:a16="http://schemas.microsoft.com/office/drawing/2014/main" id="{000C2A79-835B-4F27-9921-68EC9F40460B}"/>
                </a:ext>
              </a:extLst>
            </xdr:cNvPr>
            <xdr:cNvSpPr/>
          </xdr:nvSpPr>
          <xdr:spPr>
            <a:xfrm>
              <a:off x="12790333" y="751807"/>
              <a:ext cx="377121" cy="382051"/>
            </a:xfrm>
            <a:custGeom>
              <a:avLst/>
              <a:gdLst/>
              <a:ahLst/>
              <a:cxnLst/>
              <a:rect l="l" t="t" r="r" b="b"/>
              <a:pathLst>
                <a:path w="812800" h="812800">
                  <a:moveTo>
                    <a:pt x="406400" y="0"/>
                  </a:moveTo>
                  <a:cubicBezTo>
                    <a:pt x="181951" y="0"/>
                    <a:pt x="0" y="181951"/>
                    <a:pt x="0" y="406400"/>
                  </a:cubicBezTo>
                  <a:cubicBezTo>
                    <a:pt x="0" y="630849"/>
                    <a:pt x="181951" y="812800"/>
                    <a:pt x="406400" y="812800"/>
                  </a:cubicBezTo>
                  <a:cubicBezTo>
                    <a:pt x="630849" y="812800"/>
                    <a:pt x="812800" y="630849"/>
                    <a:pt x="812800" y="406400"/>
                  </a:cubicBezTo>
                  <a:cubicBezTo>
                    <a:pt x="812800" y="181951"/>
                    <a:pt x="630849" y="0"/>
                    <a:pt x="406400" y="0"/>
                  </a:cubicBezTo>
                  <a:close/>
                </a:path>
              </a:pathLst>
            </a:custGeom>
            <a:gradFill rotWithShape="1">
              <a:gsLst>
                <a:gs pos="0">
                  <a:srgbClr val="38B6FF">
                    <a:alpha val="100000"/>
                  </a:srgbClr>
                </a:gs>
                <a:gs pos="100000">
                  <a:srgbClr val="44489A">
                    <a:alpha val="100000"/>
                  </a:srgbClr>
                </a:gs>
              </a:gsLst>
              <a:lin ang="2700000"/>
            </a:grad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67" name="Freeform 81">
              <a:extLst>
                <a:ext uri="{FF2B5EF4-FFF2-40B4-BE49-F238E27FC236}">
                  <a16:creationId xmlns:a16="http://schemas.microsoft.com/office/drawing/2014/main" id="{1C8CC130-4558-437B-9E02-FDC3C9DC8BA6}"/>
                </a:ext>
              </a:extLst>
            </xdr:cNvPr>
            <xdr:cNvSpPr/>
          </xdr:nvSpPr>
          <xdr:spPr>
            <a:xfrm>
              <a:off x="12897805" y="826872"/>
              <a:ext cx="168815" cy="231921"/>
            </a:xfrm>
            <a:custGeom>
              <a:avLst/>
              <a:gdLst/>
              <a:ahLst/>
              <a:cxnLst/>
              <a:rect l="l" t="t" r="r" b="b"/>
              <a:pathLst>
                <a:path w="168433" h="231921">
                  <a:moveTo>
                    <a:pt x="0" y="0"/>
                  </a:moveTo>
                  <a:lnTo>
                    <a:pt x="168432" y="0"/>
                  </a:lnTo>
                  <a:lnTo>
                    <a:pt x="168432" y="231921"/>
                  </a:lnTo>
                  <a:lnTo>
                    <a:pt x="0" y="231921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7">
                <a:extLst>
                  <a:ext uri="{96DAC541-7B7A-43D3-8B79-37D633B846F1}">
                    <asvg:svgBlip xmlns:asvg="http://schemas.microsoft.com/office/drawing/2016/SVG/main" r:embed="rId18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  <xdr:pic>
        <xdr:nvPicPr>
          <xdr:cNvPr id="175" name="Picture 174">
            <a:extLst>
              <a:ext uri="{FF2B5EF4-FFF2-40B4-BE49-F238E27FC236}">
                <a16:creationId xmlns:a16="http://schemas.microsoft.com/office/drawing/2014/main" id="{D0660A47-97F2-7F43-074D-4C49A661E2F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952981" y="1860177"/>
            <a:ext cx="3535966" cy="48812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29</xdr:col>
      <xdr:colOff>342034</xdr:colOff>
      <xdr:row>9</xdr:row>
      <xdr:rowOff>92013</xdr:rowOff>
    </xdr:from>
    <xdr:to>
      <xdr:col>35</xdr:col>
      <xdr:colOff>202622</xdr:colOff>
      <xdr:row>35</xdr:row>
      <xdr:rowOff>9325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4185BE03-D044-F017-A226-10F9A8CD7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19989" y="1806513"/>
          <a:ext cx="3497406" cy="4870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29</xdr:col>
      <xdr:colOff>14820</xdr:colOff>
      <xdr:row>5</xdr:row>
      <xdr:rowOff>184510</xdr:rowOff>
    </xdr:from>
    <xdr:to>
      <xdr:col>29</xdr:col>
      <xdr:colOff>598511</xdr:colOff>
      <xdr:row>9</xdr:row>
      <xdr:rowOff>2894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8090ABB-3364-EDFC-32F6-007D857FF842}"/>
            </a:ext>
          </a:extLst>
        </xdr:cNvPr>
        <xdr:cNvGrpSpPr/>
      </xdr:nvGrpSpPr>
      <xdr:grpSpPr>
        <a:xfrm>
          <a:off x="17772141" y="1137010"/>
          <a:ext cx="583691" cy="580384"/>
          <a:chOff x="17272862" y="673184"/>
          <a:chExt cx="575896" cy="580384"/>
        </a:xfrm>
      </xdr:grpSpPr>
      <xdr:pic>
        <xdr:nvPicPr>
          <xdr:cNvPr id="181" name="Picture 180">
            <a:extLst>
              <a:ext uri="{FF2B5EF4-FFF2-40B4-BE49-F238E27FC236}">
                <a16:creationId xmlns:a16="http://schemas.microsoft.com/office/drawing/2014/main" id="{33424C39-ACAF-4739-8F2D-E2F4DC11D1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7272862" y="673184"/>
            <a:ext cx="575896" cy="580384"/>
          </a:xfrm>
          <a:prstGeom prst="rect">
            <a:avLst/>
          </a:prstGeom>
        </xdr:spPr>
      </xdr:pic>
      <xdr:sp macro="" textlink="">
        <xdr:nvSpPr>
          <xdr:cNvPr id="182" name="Freeform 38">
            <a:extLst>
              <a:ext uri="{FF2B5EF4-FFF2-40B4-BE49-F238E27FC236}">
                <a16:creationId xmlns:a16="http://schemas.microsoft.com/office/drawing/2014/main" id="{AAF31CD6-390D-4299-885A-8BB6CC91E671}"/>
              </a:ext>
            </a:extLst>
          </xdr:cNvPr>
          <xdr:cNvSpPr/>
        </xdr:nvSpPr>
        <xdr:spPr>
          <a:xfrm>
            <a:off x="17371446" y="772018"/>
            <a:ext cx="378727" cy="382714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83" name="Freeform 82">
            <a:extLst>
              <a:ext uri="{FF2B5EF4-FFF2-40B4-BE49-F238E27FC236}">
                <a16:creationId xmlns:a16="http://schemas.microsoft.com/office/drawing/2014/main" id="{134F2019-C6EF-446B-9036-B969616BDFCE}"/>
              </a:ext>
            </a:extLst>
          </xdr:cNvPr>
          <xdr:cNvSpPr/>
        </xdr:nvSpPr>
        <xdr:spPr>
          <a:xfrm>
            <a:off x="17455309" y="852781"/>
            <a:ext cx="217664" cy="221189"/>
          </a:xfrm>
          <a:custGeom>
            <a:avLst/>
            <a:gdLst/>
            <a:ahLst/>
            <a:cxnLst/>
            <a:rect l="l" t="t" r="r" b="b"/>
            <a:pathLst>
              <a:path w="218217" h="221189">
                <a:moveTo>
                  <a:pt x="0" y="0"/>
                </a:moveTo>
                <a:lnTo>
                  <a:pt x="218216" y="0"/>
                </a:lnTo>
                <a:lnTo>
                  <a:pt x="218216" y="221189"/>
                </a:lnTo>
                <a:lnTo>
                  <a:pt x="0" y="221189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9">
              <a:extLst>
                <a:ext uri="{96DAC541-7B7A-43D3-8B79-37D633B846F1}">
                  <asvg:svgBlip xmlns:asvg="http://schemas.microsoft.com/office/drawing/2016/SVG/main" r:embed="rId20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PI-Dashboard-Template-TemplateLab.com_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VDP_DIV5_1021_1103_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DASHBOARD"/>
      <sheetName val="©"/>
    </sheetNames>
    <sheetDataSet>
      <sheetData sheetId="0">
        <row r="9">
          <cell r="C9" t="str">
            <v xml:space="preserve">October </v>
          </cell>
          <cell r="D9" t="str">
            <v>November</v>
          </cell>
          <cell r="E9" t="str">
            <v>December</v>
          </cell>
        </row>
        <row r="16">
          <cell r="R16">
            <v>108</v>
          </cell>
          <cell r="S16">
            <v>87</v>
          </cell>
          <cell r="T16">
            <v>114</v>
          </cell>
          <cell r="U16">
            <v>97</v>
          </cell>
          <cell r="V16">
            <v>96</v>
          </cell>
          <cell r="W16">
            <v>94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EK ENDING DATES"/>
      <sheetName val="HOURS FOR VDP"/>
      <sheetName val="Hours_Working (2)"/>
      <sheetName val="Ticket Rate"/>
      <sheetName val="Review"/>
      <sheetName val="Sheet4"/>
      <sheetName val="PR DATE"/>
      <sheetName val="PRExportPrep"/>
      <sheetName val="Sheet2"/>
      <sheetName val="NewSheet"/>
      <sheetName val="OneSeatTickRate"/>
      <sheetName val="Deductions"/>
      <sheetName val="PartnerLookup"/>
      <sheetName val="Sheet3"/>
      <sheetName val="Hours_Working"/>
      <sheetName val="ONESEAT WKSHT"/>
      <sheetName val="CHECK AND BALANCES"/>
      <sheetName val="Fares_Big Star Export OS"/>
      <sheetName val="Fares_Big Star Export"/>
      <sheetName val="PrepSheet"/>
      <sheetName val="Fares_CCCTA_LAVTA"/>
      <sheetName val="Hourly_Rate"/>
      <sheetName val="DROPDOWN"/>
      <sheetName val="File Path"/>
      <sheetName val="PPGRate"/>
      <sheetName val="Path2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B125E0-3518-46C4-8D65-32F23C17C01F}" name="Table1" displayName="Table1" ref="B8:F13" totalsRowShown="0" headerRowDxfId="7" tableBorderDxfId="6">
  <autoFilter ref="B8:F13" xr:uid="{5FB125E0-3518-46C4-8D65-32F23C17C01F}"/>
  <tableColumns count="5">
    <tableColumn id="1" xr3:uid="{ADAE1BA9-7066-4113-9B35-37FEEFC574EA}" name="TRIPS"/>
    <tableColumn id="2" xr3:uid="{A33C0729-CFF6-411E-BB5F-7DF4373E8547}" name="HOURS"/>
    <tableColumn id="3" xr3:uid="{F3BD9FFE-D5C5-4EB9-94ED-C0AD6F19C950}" name="OPERATORS"/>
    <tableColumn id="4" xr3:uid="{6C2CF28B-8BEE-4E40-BC83-AB7FFF8B4CF4}" name="DAYS"/>
    <tableColumn id="5" xr3:uid="{DE582949-3CCE-4D08-892F-393B6F431F67}" name="TOTAL PA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76BFD4-B8C1-4EB6-8E02-4017CF03BBA4}" name="Table4" displayName="Table4" ref="B1:B3" totalsRowShown="0" headerRowDxfId="5">
  <autoFilter ref="B1:B3" xr:uid="{F876BFD4-B8C1-4EB6-8E02-4017CF03BBA4}"/>
  <tableColumns count="1">
    <tableColumn id="2" xr3:uid="{D42D5592-9550-45F6-8F53-DC5C2D4C6AE3}" name="FILE NAME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CD7D39-EF0B-4BF7-AA74-6D1BDF104A51}" name="Table6" displayName="Table6" ref="B18:C20" totalsRowShown="0" dataDxfId="4">
  <autoFilter ref="B18:C20" xr:uid="{62CD7D39-EF0B-4BF7-AA74-6D1BDF104A51}"/>
  <tableColumns count="2">
    <tableColumn id="1" xr3:uid="{3BF1CF39-75EB-40C9-A28A-E4B5B559CB9E}" name="OPERATOR NAME" dataDxfId="3"/>
    <tableColumn id="2" xr3:uid="{C94B332D-197D-4A37-AED9-4CA7D8DD94B6}" name="CHANGE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4A6CA4F-69E7-4AA9-8ABA-573CA91B21E4}" name="Table8" displayName="Table8" ref="I8:L27" totalsRowShown="0" headerRowDxfId="0">
  <autoFilter ref="I8:L27" xr:uid="{24A6CA4F-69E7-4AA9-8ABA-573CA91B21E4}"/>
  <tableColumns count="4">
    <tableColumn id="1" xr3:uid="{4C09F004-CDB9-4EE0-A408-83174EAC35D6}" name="PARTNER" dataDxfId="1" dataCellStyle="Normal 2 2"/>
    <tableColumn id="2" xr3:uid="{06628224-2A34-4DFF-BB06-33B8804D464D}" name="PREVIOUS"/>
    <tableColumn id="3" xr3:uid="{C539CDEC-B03B-4666-80C0-0F353B60B1B9}" name="LATEST">
      <calculatedColumnFormula>IFERROR(SUMIFS([2]!Hours_Working[TRIPS],[2]!Hours_Working[PARTNER],I9),0)</calculatedColumnFormula>
    </tableColumn>
    <tableColumn id="4" xr3:uid="{58B334F6-6416-4AB4-9C73-612CDC5E407B}" name="CHANGE">
      <calculatedColumnFormula>K9-J9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42112-5ECC-478A-BAEE-C62B840691DF}">
  <sheetPr codeName="Sheet1"/>
  <dimension ref="A1"/>
  <sheetViews>
    <sheetView zoomScale="70" zoomScaleNormal="70" workbookViewId="0">
      <selection activeCell="AB2" sqref="AB2"/>
    </sheetView>
  </sheetViews>
  <sheetFormatPr defaultRowHeight="15" x14ac:dyDescent="0.25"/>
  <cols>
    <col min="1" max="16384" width="9.140625" style="23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F0364-38C6-40D8-BEE5-72B46ACC2F63}">
  <dimension ref="A1:N27"/>
  <sheetViews>
    <sheetView tabSelected="1" zoomScaleNormal="100" workbookViewId="0">
      <selection activeCell="O7" sqref="O7"/>
    </sheetView>
  </sheetViews>
  <sheetFormatPr defaultColWidth="11.140625" defaultRowHeight="15" x14ac:dyDescent="0.25"/>
  <cols>
    <col min="1" max="1" width="17.42578125" customWidth="1"/>
    <col min="2" max="2" width="38.5703125" bestFit="1" customWidth="1"/>
    <col min="3" max="3" width="16.5703125" bestFit="1" customWidth="1"/>
    <col min="4" max="4" width="13.85546875" bestFit="1" customWidth="1"/>
    <col min="5" max="5" width="13.42578125" customWidth="1"/>
    <col min="6" max="6" width="14.5703125" customWidth="1"/>
    <col min="7" max="7" width="11.7109375" bestFit="1" customWidth="1"/>
    <col min="9" max="9" width="38.5703125" bestFit="1" customWidth="1"/>
    <col min="10" max="10" width="12.140625" customWidth="1"/>
    <col min="11" max="11" width="9.28515625" customWidth="1"/>
    <col min="12" max="12" width="10.7109375" customWidth="1"/>
  </cols>
  <sheetData>
    <row r="1" spans="1:14" x14ac:dyDescent="0.25">
      <c r="B1" s="2" t="s">
        <v>1</v>
      </c>
    </row>
    <row r="2" spans="1:14" x14ac:dyDescent="0.25">
      <c r="B2" t="s">
        <v>7</v>
      </c>
    </row>
    <row r="3" spans="1:14" x14ac:dyDescent="0.25">
      <c r="B3" t="s">
        <v>8</v>
      </c>
    </row>
    <row r="4" spans="1:14" x14ac:dyDescent="0.25">
      <c r="B4" s="8"/>
    </row>
    <row r="7" spans="1:14" ht="23.25" x14ac:dyDescent="0.35">
      <c r="A7" s="1" t="s">
        <v>0</v>
      </c>
      <c r="B7" s="1"/>
      <c r="C7" s="1"/>
      <c r="D7" s="1"/>
      <c r="E7" s="1"/>
      <c r="F7" s="1"/>
      <c r="G7" s="9"/>
      <c r="I7" s="1" t="s">
        <v>2</v>
      </c>
      <c r="J7" s="1"/>
      <c r="K7" s="1"/>
      <c r="L7" s="1"/>
      <c r="M7" s="9"/>
      <c r="N7" s="9"/>
    </row>
    <row r="8" spans="1:14" x14ac:dyDescent="0.25">
      <c r="A8" s="15"/>
      <c r="B8" s="2" t="s">
        <v>2</v>
      </c>
      <c r="C8" s="2" t="s">
        <v>3</v>
      </c>
      <c r="D8" s="2" t="s">
        <v>4</v>
      </c>
      <c r="E8" s="2" t="s">
        <v>5</v>
      </c>
      <c r="F8" s="2" t="s">
        <v>6</v>
      </c>
      <c r="I8" s="2" t="s">
        <v>11</v>
      </c>
      <c r="J8" s="2" t="s">
        <v>38</v>
      </c>
      <c r="K8" s="2" t="s">
        <v>37</v>
      </c>
      <c r="L8" s="2" t="s">
        <v>10</v>
      </c>
    </row>
    <row r="9" spans="1:14" ht="30" customHeight="1" x14ac:dyDescent="0.25">
      <c r="A9" s="16" t="s">
        <v>37</v>
      </c>
      <c r="B9" s="13">
        <v>3074</v>
      </c>
      <c r="C9" s="3">
        <v>2894.6220000000003</v>
      </c>
      <c r="D9" s="14">
        <v>36</v>
      </c>
      <c r="E9">
        <v>14</v>
      </c>
      <c r="F9" s="4">
        <v>92962.372555206777</v>
      </c>
      <c r="I9" s="24" t="s">
        <v>13</v>
      </c>
      <c r="J9">
        <v>838</v>
      </c>
      <c r="K9">
        <f>IFERROR(SUMIFS([2]!Hours_Working[TRIPS],[2]!Hours_Working[PARTNER],I9),0)</f>
        <v>786</v>
      </c>
      <c r="L9">
        <f>K9-J9</f>
        <v>-52</v>
      </c>
    </row>
    <row r="10" spans="1:14" x14ac:dyDescent="0.25">
      <c r="A10" s="28" t="s">
        <v>38</v>
      </c>
      <c r="B10" s="5">
        <v>3130</v>
      </c>
      <c r="C10" s="6">
        <v>2901.5309999999999</v>
      </c>
      <c r="D10">
        <v>36</v>
      </c>
      <c r="E10">
        <v>14</v>
      </c>
      <c r="F10" s="7">
        <v>93346.833995864668</v>
      </c>
      <c r="I10" s="25" t="s">
        <v>19</v>
      </c>
      <c r="J10">
        <v>115</v>
      </c>
      <c r="K10">
        <f>IFERROR(SUMIFS([2]!Hours_Working[TRIPS],[2]!Hours_Working[PARTNER],I10),0)</f>
        <v>108</v>
      </c>
      <c r="L10">
        <f t="shared" ref="L10:L27" si="0">K10-J10</f>
        <v>-7</v>
      </c>
    </row>
    <row r="11" spans="1:14" x14ac:dyDescent="0.25">
      <c r="A11" s="27"/>
      <c r="B11" s="5"/>
      <c r="C11" s="6"/>
      <c r="F11" s="7"/>
      <c r="I11" s="25" t="s">
        <v>20</v>
      </c>
      <c r="J11">
        <v>139</v>
      </c>
      <c r="K11">
        <f>IFERROR(SUMIFS([2]!Hours_Working[TRIPS],[2]!Hours_Working[PARTNER],I11),0)</f>
        <v>120</v>
      </c>
      <c r="L11">
        <f t="shared" si="0"/>
        <v>-19</v>
      </c>
    </row>
    <row r="12" spans="1:14" x14ac:dyDescent="0.25">
      <c r="A12" s="18" t="s">
        <v>9</v>
      </c>
      <c r="B12" s="10">
        <f>B9-B10</f>
        <v>-56</v>
      </c>
      <c r="C12" s="11">
        <f>C9-C10</f>
        <v>-6.9089999999996508</v>
      </c>
      <c r="D12" s="10">
        <v>0</v>
      </c>
      <c r="E12" s="10">
        <v>0</v>
      </c>
      <c r="F12" s="12">
        <f t="shared" ref="F12" si="1">F9-F10</f>
        <v>-384.46144065789122</v>
      </c>
      <c r="I12" s="25" t="s">
        <v>21</v>
      </c>
      <c r="J12">
        <v>162</v>
      </c>
      <c r="K12">
        <f>IFERROR(SUMIFS([2]!Hours_Working[TRIPS],[2]!Hours_Working[PARTNER],I12),0)</f>
        <v>166</v>
      </c>
      <c r="L12">
        <f t="shared" si="0"/>
        <v>4</v>
      </c>
    </row>
    <row r="13" spans="1:14" ht="15.75" thickBot="1" x14ac:dyDescent="0.3">
      <c r="A13" s="19" t="s">
        <v>10</v>
      </c>
      <c r="B13" s="17" t="str">
        <f>IF(B9&gt;B10, "Increased", IF(B9&lt;B10, "Decreased", "No Change"))</f>
        <v>Decreased</v>
      </c>
      <c r="C13" s="17" t="str">
        <f t="shared" ref="C13:F13" si="2">IF(C9&gt;C10, "Increased", IF(C9&lt;C10, "Decreased", "No Change"))</f>
        <v>Decreased</v>
      </c>
      <c r="D13" s="17" t="str">
        <f t="shared" si="2"/>
        <v>No Change</v>
      </c>
      <c r="E13" s="17" t="str">
        <f t="shared" si="2"/>
        <v>No Change</v>
      </c>
      <c r="F13" s="17" t="str">
        <f t="shared" si="2"/>
        <v>Decreased</v>
      </c>
      <c r="I13" s="25" t="s">
        <v>22</v>
      </c>
      <c r="J13">
        <v>246</v>
      </c>
      <c r="K13">
        <f>IFERROR(SUMIFS([2]!Hours_Working[TRIPS],[2]!Hours_Working[PARTNER],I13),0)</f>
        <v>239</v>
      </c>
      <c r="L13">
        <f t="shared" si="0"/>
        <v>-7</v>
      </c>
    </row>
    <row r="14" spans="1:14" x14ac:dyDescent="0.25">
      <c r="I14" s="25" t="s">
        <v>23</v>
      </c>
      <c r="J14">
        <v>78</v>
      </c>
      <c r="K14">
        <f>IFERROR(SUMIFS([2]!Hours_Working[TRIPS],[2]!Hours_Working[PARTNER],I14),0)</f>
        <v>80</v>
      </c>
      <c r="L14">
        <f t="shared" si="0"/>
        <v>2</v>
      </c>
    </row>
    <row r="15" spans="1:14" x14ac:dyDescent="0.25">
      <c r="I15" s="25" t="s">
        <v>24</v>
      </c>
      <c r="J15">
        <v>184</v>
      </c>
      <c r="K15">
        <f>IFERROR(SUMIFS([2]!Hours_Working[TRIPS],[2]!Hours_Working[PARTNER],I15),0)</f>
        <v>220</v>
      </c>
      <c r="L15">
        <f t="shared" si="0"/>
        <v>36</v>
      </c>
    </row>
    <row r="16" spans="1:14" x14ac:dyDescent="0.25">
      <c r="I16" s="25" t="s">
        <v>25</v>
      </c>
      <c r="J16">
        <v>88</v>
      </c>
      <c r="K16">
        <f>IFERROR(SUMIFS([2]!Hours_Working[TRIPS],[2]!Hours_Working[PARTNER],I16),0)</f>
        <v>90</v>
      </c>
      <c r="L16">
        <f t="shared" si="0"/>
        <v>2</v>
      </c>
    </row>
    <row r="17" spans="1:12" ht="23.25" x14ac:dyDescent="0.35">
      <c r="A17" s="1" t="s">
        <v>18</v>
      </c>
      <c r="B17" s="1"/>
      <c r="C17" s="1"/>
      <c r="D17" s="9"/>
      <c r="E17" s="9"/>
      <c r="F17" s="9"/>
      <c r="I17" s="25" t="s">
        <v>26</v>
      </c>
      <c r="J17">
        <v>225</v>
      </c>
      <c r="K17">
        <f>IFERROR(SUMIFS([2]!Hours_Working[TRIPS],[2]!Hours_Working[PARTNER],I17),0)</f>
        <v>225</v>
      </c>
      <c r="L17">
        <f t="shared" si="0"/>
        <v>0</v>
      </c>
    </row>
    <row r="18" spans="1:12" x14ac:dyDescent="0.25">
      <c r="A18" s="21" t="s">
        <v>11</v>
      </c>
      <c r="B18" t="s">
        <v>12</v>
      </c>
      <c r="C18" t="s">
        <v>10</v>
      </c>
      <c r="I18" s="25" t="s">
        <v>27</v>
      </c>
      <c r="J18">
        <v>90</v>
      </c>
      <c r="K18">
        <f>IFERROR(SUMIFS([2]!Hours_Working[TRIPS],[2]!Hours_Working[PARTNER],I18),0)</f>
        <v>116</v>
      </c>
      <c r="L18">
        <f t="shared" si="0"/>
        <v>26</v>
      </c>
    </row>
    <row r="19" spans="1:12" ht="21.75" customHeight="1" x14ac:dyDescent="0.25">
      <c r="A19" s="22" t="s">
        <v>13</v>
      </c>
      <c r="B19" s="20" t="s">
        <v>14</v>
      </c>
      <c r="C19" s="20" t="s">
        <v>15</v>
      </c>
      <c r="I19" s="26" t="s">
        <v>28</v>
      </c>
      <c r="J19">
        <v>101</v>
      </c>
      <c r="K19">
        <f>IFERROR(SUMIFS([2]!Hours_Working[TRIPS],[2]!Hours_Working[PARTNER],I19),0)</f>
        <v>90</v>
      </c>
      <c r="L19">
        <f t="shared" si="0"/>
        <v>-11</v>
      </c>
    </row>
    <row r="20" spans="1:12" ht="21" customHeight="1" x14ac:dyDescent="0.25">
      <c r="A20" s="22"/>
      <c r="B20" s="20" t="s">
        <v>16</v>
      </c>
      <c r="C20" s="20" t="s">
        <v>17</v>
      </c>
      <c r="I20" s="25" t="s">
        <v>29</v>
      </c>
      <c r="J20">
        <v>116</v>
      </c>
      <c r="K20">
        <f>IFERROR(SUMIFS([2]!Hours_Working[TRIPS],[2]!Hours_Working[PARTNER],I20),0)</f>
        <v>86</v>
      </c>
      <c r="L20">
        <f t="shared" si="0"/>
        <v>-30</v>
      </c>
    </row>
    <row r="21" spans="1:12" x14ac:dyDescent="0.25">
      <c r="I21" s="25" t="s">
        <v>30</v>
      </c>
      <c r="J21">
        <v>101</v>
      </c>
      <c r="K21">
        <f>IFERROR(SUMIFS([2]!Hours_Working[TRIPS],[2]!Hours_Working[PARTNER],I21),0)</f>
        <v>92</v>
      </c>
      <c r="L21">
        <f t="shared" si="0"/>
        <v>-9</v>
      </c>
    </row>
    <row r="22" spans="1:12" x14ac:dyDescent="0.25">
      <c r="I22" s="25" t="s">
        <v>31</v>
      </c>
      <c r="J22">
        <v>88</v>
      </c>
      <c r="K22">
        <f>IFERROR(SUMIFS([2]!Hours_Working[TRIPS],[2]!Hours_Working[PARTNER],I22),0)</f>
        <v>83</v>
      </c>
      <c r="L22">
        <f t="shared" si="0"/>
        <v>-5</v>
      </c>
    </row>
    <row r="23" spans="1:12" x14ac:dyDescent="0.25">
      <c r="I23" s="25" t="s">
        <v>32</v>
      </c>
      <c r="J23">
        <v>124</v>
      </c>
      <c r="K23">
        <f>IFERROR(SUMIFS([2]!Hours_Working[TRIPS],[2]!Hours_Working[PARTNER],I23),0)</f>
        <v>105</v>
      </c>
      <c r="L23">
        <f t="shared" si="0"/>
        <v>-19</v>
      </c>
    </row>
    <row r="24" spans="1:12" x14ac:dyDescent="0.25">
      <c r="I24" s="25" t="s">
        <v>33</v>
      </c>
      <c r="J24">
        <v>79</v>
      </c>
      <c r="K24">
        <f>IFERROR(SUMIFS([2]!Hours_Working[TRIPS],[2]!Hours_Working[PARTNER],I24),0)</f>
        <v>97</v>
      </c>
      <c r="L24">
        <f t="shared" si="0"/>
        <v>18</v>
      </c>
    </row>
    <row r="25" spans="1:12" x14ac:dyDescent="0.25">
      <c r="I25" s="25" t="s">
        <v>34</v>
      </c>
      <c r="J25">
        <v>55</v>
      </c>
      <c r="K25">
        <f>IFERROR(SUMIFS([2]!Hours_Working[TRIPS],[2]!Hours_Working[PARTNER],I25),0)</f>
        <v>84</v>
      </c>
      <c r="L25">
        <f t="shared" si="0"/>
        <v>29</v>
      </c>
    </row>
    <row r="26" spans="1:12" x14ac:dyDescent="0.25">
      <c r="I26" s="25" t="s">
        <v>35</v>
      </c>
      <c r="J26">
        <v>179</v>
      </c>
      <c r="K26">
        <f>IFERROR(SUMIFS([2]!Hours_Working[TRIPS],[2]!Hours_Working[PARTNER],I26),0)</f>
        <v>180</v>
      </c>
      <c r="L26">
        <f t="shared" si="0"/>
        <v>1</v>
      </c>
    </row>
    <row r="27" spans="1:12" x14ac:dyDescent="0.25">
      <c r="I27" s="25" t="s">
        <v>36</v>
      </c>
      <c r="J27">
        <v>122</v>
      </c>
      <c r="K27">
        <f>IFERROR(SUMIFS([2]!Hours_Working[TRIPS],[2]!Hours_Working[PARTNER],I27),0)</f>
        <v>107</v>
      </c>
      <c r="L27">
        <f t="shared" si="0"/>
        <v>-15</v>
      </c>
    </row>
  </sheetData>
  <mergeCells count="4">
    <mergeCell ref="I7:L7"/>
    <mergeCell ref="A7:F7"/>
    <mergeCell ref="A19:A20"/>
    <mergeCell ref="A17:C17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Total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2025-01-22T11:45:59Z</dcterms:created>
  <dcterms:modified xsi:type="dcterms:W3CDTF">2025-01-23T16:46:44Z</dcterms:modified>
</cp:coreProperties>
</file>